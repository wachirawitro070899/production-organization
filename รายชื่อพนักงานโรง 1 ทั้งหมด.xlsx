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968ED782-B594-4F8F-B886-842226FEB85B}" xr6:coauthVersionLast="47" xr6:coauthVersionMax="47" xr10:uidLastSave="{00000000-0000-0000-0000-000000000000}"/>
  <bookViews>
    <workbookView xWindow="-108" yWindow="-108" windowWidth="23256" windowHeight="12456" firstSheet="5" activeTab="8" xr2:uid="{9D05656E-18C1-42D3-A45B-5A17E60F67FA}"/>
  </bookViews>
  <sheets>
    <sheet name="Engineering Support Section" sheetId="6" r:id="rId1"/>
    <sheet name="Support Production Section" sheetId="10" r:id="rId2"/>
    <sheet name="Machine Maintenance Section" sheetId="5" r:id="rId3"/>
    <sheet name="Tooling Maintenance Section" sheetId="8" r:id="rId4"/>
    <sheet name="Sorting Section" sheetId="9" r:id="rId5"/>
    <sheet name="Welding Section" sheetId="7" r:id="rId6"/>
    <sheet name="CNC Section" sheetId="4" r:id="rId7"/>
    <sheet name="Bending Section" sheetId="3" r:id="rId8"/>
    <sheet name="Taping Section" sheetId="2" r:id="rId9"/>
    <sheet name="Stamping Section" sheetId="1" r:id="rId10"/>
  </sheets>
  <externalReferences>
    <externalReference r:id="rId11"/>
    <externalReference r:id="rId12"/>
    <externalReference r:id="rId13"/>
    <externalReference r:id="rId14"/>
  </externalReferences>
  <definedNames>
    <definedName name="_xlnm._FilterDatabase" localSheetId="7" hidden="1">'Bending Section'!$A$3:$I$7</definedName>
    <definedName name="_xlnm._FilterDatabase" localSheetId="6" hidden="1">'CNC Section'!$A$3:$J$8</definedName>
    <definedName name="_xlnm._FilterDatabase" localSheetId="0" hidden="1">'Engineering Support Section'!$A$3:$I$6</definedName>
    <definedName name="_xlnm._FilterDatabase" localSheetId="2" hidden="1">'Machine Maintenance Section'!$A$3:$I$5</definedName>
    <definedName name="_xlnm._FilterDatabase" localSheetId="4" hidden="1">'Sorting Section'!$A$3:$J$38</definedName>
    <definedName name="_xlnm._FilterDatabase" localSheetId="9" hidden="1">'Stamping Section'!$A$3:$I$28</definedName>
    <definedName name="_xlnm._FilterDatabase" localSheetId="1" hidden="1">'Support Production Section'!$A$3:$I$6</definedName>
    <definedName name="_xlnm._FilterDatabase" localSheetId="8" hidden="1">'Taping Section'!$A$3:$I$6</definedName>
    <definedName name="_xlnm._FilterDatabase" localSheetId="3" hidden="1">'Tooling Maintenance Section'!$A$3:$I$8</definedName>
    <definedName name="_xlnm._FilterDatabase" localSheetId="5" hidden="1">'Welding Section'!$A$3:$I$12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D4" i="2"/>
  <c r="D5" i="1"/>
  <c r="D4" i="1"/>
  <c r="D4" i="4"/>
  <c r="D5" i="4"/>
  <c r="B7" i="6"/>
  <c r="D7" i="6"/>
  <c r="F7" i="6"/>
  <c r="B4" i="10"/>
  <c r="D4" i="10"/>
  <c r="F4" i="10"/>
  <c r="F5" i="10"/>
  <c r="D5" i="10"/>
  <c r="B5" i="10"/>
  <c r="F13" i="9"/>
  <c r="D13" i="9"/>
  <c r="C13" i="9"/>
  <c r="B13" i="9"/>
  <c r="F12" i="9"/>
  <c r="D12" i="9"/>
  <c r="C12" i="9"/>
  <c r="B12" i="9"/>
  <c r="F11" i="9"/>
  <c r="D11" i="9"/>
  <c r="B11" i="9"/>
  <c r="F10" i="9"/>
  <c r="D10" i="9"/>
  <c r="B10" i="9"/>
  <c r="F9" i="9"/>
  <c r="D9" i="9"/>
  <c r="B9" i="9"/>
  <c r="F8" i="9"/>
  <c r="D8" i="9"/>
  <c r="B8" i="9"/>
  <c r="F7" i="9"/>
  <c r="D7" i="9"/>
  <c r="B7" i="9"/>
  <c r="F6" i="9"/>
  <c r="D6" i="9"/>
  <c r="B6" i="9"/>
  <c r="F5" i="9"/>
  <c r="D5" i="9"/>
  <c r="B5" i="9"/>
  <c r="F4" i="9"/>
  <c r="D4" i="9"/>
  <c r="B4" i="9"/>
  <c r="B9" i="8"/>
  <c r="F6" i="8"/>
  <c r="B6" i="8"/>
  <c r="F5" i="8"/>
  <c r="D5" i="8"/>
  <c r="B5" i="8"/>
  <c r="F4" i="8"/>
  <c r="D4" i="8"/>
  <c r="B4" i="8"/>
  <c r="F10" i="7"/>
  <c r="D10" i="7"/>
  <c r="C10" i="7"/>
  <c r="B10" i="7"/>
  <c r="F9" i="7"/>
  <c r="D9" i="7"/>
  <c r="C9" i="7"/>
  <c r="B9" i="7"/>
  <c r="F8" i="7"/>
  <c r="D8" i="7"/>
  <c r="B8" i="7"/>
  <c r="F7" i="7"/>
  <c r="D7" i="7"/>
  <c r="B7" i="7"/>
  <c r="F6" i="7"/>
  <c r="D6" i="7"/>
  <c r="B6" i="7"/>
  <c r="F5" i="7"/>
  <c r="D5" i="7"/>
  <c r="B5" i="7"/>
  <c r="F4" i="7"/>
  <c r="D4" i="7"/>
  <c r="B4" i="7"/>
  <c r="F5" i="6"/>
  <c r="D5" i="6"/>
  <c r="B5" i="6"/>
  <c r="F4" i="6"/>
  <c r="D4" i="6"/>
  <c r="B4" i="6"/>
  <c r="F4" i="5"/>
  <c r="D4" i="5"/>
  <c r="B4" i="5"/>
  <c r="F5" i="4"/>
  <c r="C5" i="4"/>
  <c r="B5" i="4"/>
  <c r="F4" i="4"/>
  <c r="B4" i="4"/>
  <c r="F7" i="3"/>
  <c r="C7" i="3"/>
  <c r="B7" i="3"/>
  <c r="B6" i="3"/>
  <c r="F5" i="3"/>
  <c r="B5" i="3"/>
  <c r="F4" i="3"/>
  <c r="B4" i="3"/>
  <c r="F6" i="2"/>
  <c r="B6" i="2"/>
  <c r="F5" i="2"/>
  <c r="B5" i="2"/>
  <c r="F4" i="2"/>
  <c r="B4" i="2"/>
  <c r="F11" i="1"/>
  <c r="C11" i="1"/>
  <c r="B11" i="1"/>
  <c r="F10" i="1"/>
  <c r="C10" i="1"/>
  <c r="B10" i="1"/>
  <c r="B9" i="1"/>
  <c r="F8" i="1"/>
  <c r="B8" i="1"/>
  <c r="F7" i="1"/>
  <c r="B7" i="1"/>
  <c r="F6" i="1"/>
  <c r="B6" i="1"/>
  <c r="F5" i="1"/>
  <c r="B5" i="1"/>
  <c r="F4" i="1"/>
  <c r="B4" i="1"/>
</calcChain>
</file>

<file path=xl/sharedStrings.xml><?xml version="1.0" encoding="utf-8"?>
<sst xmlns="http://schemas.openxmlformats.org/spreadsheetml/2006/main" count="945" uniqueCount="303">
  <si>
    <r>
      <rPr>
        <b/>
        <sz val="13.5"/>
        <color theme="1"/>
        <rFont val="等线"/>
        <charset val="134"/>
      </rPr>
      <t>员工基础信息表</t>
    </r>
    <r>
      <rPr>
        <b/>
        <sz val="13.5"/>
        <color theme="1"/>
        <rFont val="Times New Roman"/>
        <charset val="134"/>
      </rPr>
      <t xml:space="preserve"> Employee Basic Information Form </t>
    </r>
  </si>
  <si>
    <r>
      <rPr>
        <b/>
        <sz val="11"/>
        <color theme="1"/>
        <rFont val="Times New Roman"/>
        <charset val="134"/>
      </rPr>
      <t>Updated on</t>
    </r>
    <r>
      <rPr>
        <b/>
        <sz val="11"/>
        <color theme="1"/>
        <rFont val="宋体"/>
        <charset val="134"/>
      </rPr>
      <t>：</t>
    </r>
  </si>
  <si>
    <t>July 23,2026</t>
  </si>
  <si>
    <t>MR. SONGPHON SIRICHAN</t>
  </si>
  <si>
    <t>Thai</t>
  </si>
  <si>
    <t>Permanent</t>
  </si>
  <si>
    <t>Stamping Operator</t>
  </si>
  <si>
    <t>MRSALOEMWUT PHENGPRAKHON</t>
  </si>
  <si>
    <t>MR.SUCHAT PHONCHALI</t>
  </si>
  <si>
    <t>MR.JAKKARIN KASAN</t>
  </si>
  <si>
    <t>MR.NATTHAWUT SAY</t>
  </si>
  <si>
    <t>MR.KIATTISAK LAPHET</t>
  </si>
  <si>
    <t>Male</t>
  </si>
  <si>
    <t>นายหาญณรงค์ สีชมภู</t>
  </si>
  <si>
    <t>MR.HANNARONG SEEHOMPOO</t>
  </si>
  <si>
    <t>นายจักพันธ์ ชมภู</t>
  </si>
  <si>
    <t>MR.JAHKKAPAN CHOMPOO</t>
  </si>
  <si>
    <t>นายธนพัฒน์ อ่อนมิ่ง</t>
  </si>
  <si>
    <t>MR.THANAPAT ONMING</t>
  </si>
  <si>
    <t>นายอภิชัย สีชมพู</t>
  </si>
  <si>
    <t>MR.APICHAI SICHOMPHU</t>
  </si>
  <si>
    <t>นายภานุวิชญ์ มุ่งหมาย</t>
  </si>
  <si>
    <t>MR.PHANUWICH MUNGMAY</t>
  </si>
  <si>
    <t>นายศุภกานต์ สมสุวรรณ</t>
  </si>
  <si>
    <t>MR.SUPHAKAN SOMSUWAN</t>
  </si>
  <si>
    <t>NCN415</t>
  </si>
  <si>
    <t>นายอัครชัย ศิริวาลย์</t>
  </si>
  <si>
    <t>MR.OAKKHARACHAI SIRIWAN</t>
  </si>
  <si>
    <t>29/06/2026</t>
  </si>
  <si>
    <t>Subcontractor</t>
  </si>
  <si>
    <t>NCN423</t>
  </si>
  <si>
    <t>นายณัฐดนัย ปะมามะตัง</t>
  </si>
  <si>
    <t>MR.NATDANAI PANAMATANG</t>
  </si>
  <si>
    <t>01/07/2026</t>
  </si>
  <si>
    <t>NCN434</t>
  </si>
  <si>
    <t>นายสุรชัย เพชรสูงเนิน</t>
  </si>
  <si>
    <t>MRSURACHAI YINDEE</t>
  </si>
  <si>
    <t>06/07/2026</t>
  </si>
  <si>
    <t>NCN455</t>
  </si>
  <si>
    <t>นายวันชัย สงล่า</t>
  </si>
  <si>
    <t>MR.WANCHAI SONGLA</t>
  </si>
  <si>
    <t>10/07/2026</t>
  </si>
  <si>
    <t>NCN456</t>
  </si>
  <si>
    <t>นายภัทรดนัย ขุ่นสูงเนิน</t>
  </si>
  <si>
    <t>MR.PATTHARADANAI KHUNSUNGNOEN</t>
  </si>
  <si>
    <t>NCN458</t>
  </si>
  <si>
    <t>นายจิรพงษ์ อุ่นธะยา</t>
  </si>
  <si>
    <t>MR.JIRAPONG UNTHAYA</t>
  </si>
  <si>
    <t>11/07/2026</t>
  </si>
  <si>
    <t>NCN463</t>
  </si>
  <si>
    <t>นายภูวดล ตรางา</t>
  </si>
  <si>
    <t>MR.PHUWADOL THANGA</t>
  </si>
  <si>
    <t>13/07/2026</t>
  </si>
  <si>
    <t>NCN464</t>
  </si>
  <si>
    <t>นายเจษธนะพัฒน์ สุขเขียว</t>
  </si>
  <si>
    <t>MR.CHETTHANAPHAT SUKKIAO</t>
  </si>
  <si>
    <t>NCN468</t>
  </si>
  <si>
    <t>นายวุฒิชัย วงศ์เปียว</t>
  </si>
  <si>
    <t>MR.WUTTHICHAI WONGPRIAW</t>
  </si>
  <si>
    <t>15/07/2026</t>
  </si>
  <si>
    <t>NCN469</t>
  </si>
  <si>
    <t>นายพรชัย จินทา</t>
  </si>
  <si>
    <t>MR.PORNCHAI JINTA</t>
  </si>
  <si>
    <t>NCN476</t>
  </si>
  <si>
    <t>นายเฉลิมชัย เสนานุช</t>
  </si>
  <si>
    <t>MR.CHALOEMCHAI SENANUCH</t>
  </si>
  <si>
    <t>20/7/2026</t>
  </si>
  <si>
    <t xml:space="preserve">MS. ORAPIN LAOBABPA </t>
  </si>
  <si>
    <t>Taping Leader</t>
  </si>
  <si>
    <t>MS. AMORNPAN SUADSOM</t>
  </si>
  <si>
    <t>Taping Operator</t>
  </si>
  <si>
    <t>MS. DUANGKAMON NANTHAKUN</t>
  </si>
  <si>
    <t>NCN459</t>
  </si>
  <si>
    <t>นางสาวอรพินท์ จันทร์ศิริ</t>
  </si>
  <si>
    <t>MS.ORAPIN CHANSIRI</t>
  </si>
  <si>
    <t>Female</t>
  </si>
  <si>
    <t>NCN475</t>
  </si>
  <si>
    <t>นางสาววริศรา สิงห์เทศ</t>
  </si>
  <si>
    <t>MS.WARITSARA SINGTES</t>
  </si>
  <si>
    <t>LH010</t>
  </si>
  <si>
    <t>MR.ZIN MYO THANT</t>
  </si>
  <si>
    <t>Myanmar</t>
  </si>
  <si>
    <t>22/12/2025</t>
  </si>
  <si>
    <t>MR. KITTIHAT MOMSALA</t>
  </si>
  <si>
    <t>Bending Leader</t>
  </si>
  <si>
    <t>MR.DAMRONG PATTAPHI</t>
  </si>
  <si>
    <t>Bending Operator</t>
  </si>
  <si>
    <t>MR.THANAWUT PHISETRIT</t>
  </si>
  <si>
    <t>NCN450</t>
  </si>
  <si>
    <t>นายกฤษฎา สิทธิมงคล</t>
  </si>
  <si>
    <t>MR.KITSADA SITTHIMONGKHON</t>
  </si>
  <si>
    <t>NCN461</t>
  </si>
  <si>
    <t>นายภาณุวัฒน์ ผิวขาว</t>
  </si>
  <si>
    <t>MR.PHANUWAT PHIWKHAO</t>
  </si>
  <si>
    <t>NCN477</t>
  </si>
  <si>
    <t>นายธนากร อินทรัพย์</t>
  </si>
  <si>
    <t>MR.TANAKRON AINSAP</t>
  </si>
  <si>
    <t>MR.SURIYA TAPEASUEB</t>
  </si>
  <si>
    <t xml:space="preserve"> Leader CNC </t>
  </si>
  <si>
    <t>CNC Operator</t>
  </si>
  <si>
    <t>นายอภิสิทธิ์ ถาวรสันต์</t>
  </si>
  <si>
    <t>MR.APHISIT TAWONSAN</t>
  </si>
  <si>
    <t>นายวีระยุทธ จะโลนา</t>
  </si>
  <si>
    <t>MR.WIRAYUT JALONA</t>
  </si>
  <si>
    <t>นายจีรพล ยืนยิ่ง</t>
  </si>
  <si>
    <t>MR.JEERAPON YUENYING</t>
  </si>
  <si>
    <t>NCN432</t>
  </si>
  <si>
    <t>นายศักดิ์ทวี นาถ้ำทอง</t>
  </si>
  <si>
    <t>MR.SAKTAWEE NATHAMTHONG</t>
  </si>
  <si>
    <t>03/07/2026</t>
  </si>
  <si>
    <t>NCN433</t>
  </si>
  <si>
    <t>นายปิยณัฐ บัวสิม</t>
  </si>
  <si>
    <t>MR.PIYANATH BUASIM</t>
  </si>
  <si>
    <t>NCN435</t>
  </si>
  <si>
    <t>นายสุชาติ วะรามิตร</t>
  </si>
  <si>
    <t>MS.JUTHAMAT KAEWPAWONG</t>
  </si>
  <si>
    <t>NCN442</t>
  </si>
  <si>
    <t>นายจัตตุพล ใจเป้ง</t>
  </si>
  <si>
    <t>MR.JUTTUPOL JAIPENG</t>
  </si>
  <si>
    <t>07/07/2026</t>
  </si>
  <si>
    <t>MR.WANTANA PHOOKFAK</t>
  </si>
  <si>
    <t xml:space="preserve"> Leader Maintenance</t>
  </si>
  <si>
    <t xml:space="preserve"> Maintenance</t>
  </si>
  <si>
    <t>นายดนุพล วิชาดี</t>
  </si>
  <si>
    <t>MR.DANUPHON WICHADI</t>
  </si>
  <si>
    <t>นายอำนวยชัย แหวนเงิน</t>
  </si>
  <si>
    <t>MR.AMNUAICHAI WAENGOEN</t>
  </si>
  <si>
    <t>นายอานุภาพ ชาววงค์</t>
  </si>
  <si>
    <t>MR.ARNUPAP CHAOWONG</t>
  </si>
  <si>
    <t>MR.WEERAPHON SANSIM</t>
  </si>
  <si>
    <t>Production Manager</t>
  </si>
  <si>
    <t>MS. KAWISARA SUPAPAN</t>
  </si>
  <si>
    <t>MS.JIDLADA  PHIPHATTHANASUPHON</t>
  </si>
  <si>
    <t>MR.WACHIRAWIT RONGJIT</t>
  </si>
  <si>
    <t>Production Engineer</t>
  </si>
  <si>
    <t>นายณัฐพล ธรรมดูล</t>
  </si>
  <si>
    <t>MR.NATTHAPON THAMMADOOL</t>
  </si>
  <si>
    <t>Tooling Engineer</t>
  </si>
  <si>
    <t>นางสาววิลาวัลย์ เสาร์แก้ว</t>
  </si>
  <si>
    <t>MS.WILAWAN SAOKAEW</t>
  </si>
  <si>
    <t>Production Planing</t>
  </si>
  <si>
    <t>MR.JATUPONG  WONGSASUEP</t>
  </si>
  <si>
    <t>Robot Welding Operator</t>
  </si>
  <si>
    <t>MR.KIADTISAK CHUPAMANO</t>
  </si>
  <si>
    <t>MR.WEERAKORN AUTTHANGKHAI</t>
  </si>
  <si>
    <t>Welding Laeder</t>
  </si>
  <si>
    <t>MR.NARATHIP BUNPUM</t>
  </si>
  <si>
    <t>MR.JIANG,AIDONG</t>
  </si>
  <si>
    <t>Chinese</t>
  </si>
  <si>
    <t>Welding Engineer</t>
  </si>
  <si>
    <t>นายโยธิน จารุสินทร</t>
  </si>
  <si>
    <t>MR.YOTHIN CHARUSINTHON</t>
  </si>
  <si>
    <t>นายอนุชา ตุ้มอ่อน</t>
  </si>
  <si>
    <t>MR.ANUCHA TUMOON</t>
  </si>
  <si>
    <t>NCN328</t>
  </si>
  <si>
    <t>นายพีรพงษ์ จันทร์ต่อ</t>
  </si>
  <si>
    <t>MR.PHIRAPONG JANTO</t>
  </si>
  <si>
    <t>07/05/2026</t>
  </si>
  <si>
    <t>NCN332</t>
  </si>
  <si>
    <t>นายวัชรินทร์ มั่นคง</t>
  </si>
  <si>
    <t>MR.WATCHARIN MANKHONG</t>
  </si>
  <si>
    <t>NCN349</t>
  </si>
  <si>
    <t>นายเศรษฐา ผิวขำ</t>
  </si>
  <si>
    <t>MR.SRETTA PAEWKUM</t>
  </si>
  <si>
    <t>18/05/2026</t>
  </si>
  <si>
    <t>NCN364</t>
  </si>
  <si>
    <t>นายคำนวณ ม่อมมิตร</t>
  </si>
  <si>
    <t>MR.KHAMNUAN MOMMIT</t>
  </si>
  <si>
    <t>25/05/2026</t>
  </si>
  <si>
    <t>NCN407</t>
  </si>
  <si>
    <t>นายทินกร กุลบุตร</t>
  </si>
  <si>
    <t>MRTHINNAKORN KULLABUT</t>
  </si>
  <si>
    <t>25/06/2026</t>
  </si>
  <si>
    <t>NCN421</t>
  </si>
  <si>
    <t>นายสุวิชา เพชรฤทธิ์</t>
  </si>
  <si>
    <t>MR.SUWICHA PECHRIT</t>
  </si>
  <si>
    <t>NCN473</t>
  </si>
  <si>
    <t>นายปารเมศ ชัญถาวร</t>
  </si>
  <si>
    <t>MR.PARAMET CHANTAWON</t>
  </si>
  <si>
    <t>MR.THANANDORN THOTHAM</t>
  </si>
  <si>
    <t xml:space="preserve">Mold Maintenance Leader </t>
  </si>
  <si>
    <t>Mold Maintenance</t>
  </si>
  <si>
    <t>MR.RAHUL SUDHAKARAN</t>
  </si>
  <si>
    <t>Indian</t>
  </si>
  <si>
    <t>MR.PHONGSAK  CHAIYAKUN</t>
  </si>
  <si>
    <t>MR.RONNAKIT KATHONG</t>
  </si>
  <si>
    <t>นายธนากร ธรรมดา</t>
  </si>
  <si>
    <t>MR.THANAKORN THAMMADA</t>
  </si>
  <si>
    <t>นายฐานันดร ยังเมือง</t>
  </si>
  <si>
    <t>MR.THANANDORN YANGMUEANG</t>
  </si>
  <si>
    <t>MR.NUTTHAPHONG BUA-NGAM</t>
  </si>
  <si>
    <t>นายจิรชนม์ ใจบุญ</t>
  </si>
  <si>
    <t>MR.JIRACHON JAIBUN</t>
  </si>
  <si>
    <t>MS. SUWANAN THONGCHAI</t>
  </si>
  <si>
    <t xml:space="preserve">Sorting Leader </t>
  </si>
  <si>
    <t>MS. SUKANYA  NAOWARAT</t>
  </si>
  <si>
    <t>Sorting Operator</t>
  </si>
  <si>
    <t>MS. ONCHIRA KAMON</t>
  </si>
  <si>
    <t>MS. KANLAYA  SEAMA</t>
  </si>
  <si>
    <t>MR. SEKSAN INSORN</t>
  </si>
  <si>
    <t>MS. KANOKWAN  SAKLAO</t>
  </si>
  <si>
    <t>Sorting  Leader</t>
  </si>
  <si>
    <t>MS. THIDA  SEAKEU</t>
  </si>
  <si>
    <t>MS.MALIWAN MASOPA</t>
  </si>
  <si>
    <t>นางสาวอรวรรณ พันโม้</t>
  </si>
  <si>
    <t>MS.ORAWAN PHANMO</t>
  </si>
  <si>
    <t>นางสาวสุภาวิดา คุริโน</t>
  </si>
  <si>
    <t>MS.SUPAWIDA KURINO</t>
  </si>
  <si>
    <t>นางสาวสุพัชชา อินเพ็ง</t>
  </si>
  <si>
    <t>MS.SUPHATCHA AINPHENG</t>
  </si>
  <si>
    <t>นางประภาวรรณ สมสิน</t>
  </si>
  <si>
    <t>MRS.PRAPHAWAN SOMSIN</t>
  </si>
  <si>
    <t>นายศิวดล วงษ์มา</t>
  </si>
  <si>
    <t>MR.SIWADON WONGMA</t>
  </si>
  <si>
    <t>NCN237</t>
  </si>
  <si>
    <t>นายอานนท์ สิทธิ</t>
  </si>
  <si>
    <t>MR.ANON SITTI</t>
  </si>
  <si>
    <t>11-03-2026</t>
  </si>
  <si>
    <t>NCN238</t>
  </si>
  <si>
    <t>นางสาวประพิศรา เคียงคำผง</t>
  </si>
  <si>
    <t>MS.PRAPHISARA KEANGKHAMPONG</t>
  </si>
  <si>
    <t>NCN321</t>
  </si>
  <si>
    <t>นางสาวพรรษา แซ่กือ</t>
  </si>
  <si>
    <t>MS.PANSA CAEKUE</t>
  </si>
  <si>
    <t>05/05/2026</t>
  </si>
  <si>
    <t>NCN331</t>
  </si>
  <si>
    <t>นายเจริญชัย พิชัย</t>
  </si>
  <si>
    <t>MR.CHAROENCHAI PICHAI</t>
  </si>
  <si>
    <t>NCN335</t>
  </si>
  <si>
    <t>นางสาวสายรุ้ง ปาวรีย์</t>
  </si>
  <si>
    <t>MS.SAIRUNG PAWAREE</t>
  </si>
  <si>
    <t>08/05/2026</t>
  </si>
  <si>
    <t>NCN351</t>
  </si>
  <si>
    <t>นายอุดมศักดิ์ สียา</t>
  </si>
  <si>
    <t>MR.UDOMSAK SEEYA</t>
  </si>
  <si>
    <t>NCN352</t>
  </si>
  <si>
    <t>นางสาวเกษรินทร์ ศรีเลิศ</t>
  </si>
  <si>
    <t>MS.KETSARIN SRILOET</t>
  </si>
  <si>
    <t>20/05/2026</t>
  </si>
  <si>
    <t>NCN363</t>
  </si>
  <si>
    <t>นางสาวสาริณี ปุ้มสะเกษ</t>
  </si>
  <si>
    <t>MS.SARINEE PUMSAKES</t>
  </si>
  <si>
    <t>NCN370</t>
  </si>
  <si>
    <t>นางสาวปิยธิดา หนูแย้ม</t>
  </si>
  <si>
    <t>MS.BIJATIDA NUYAEM</t>
  </si>
  <si>
    <t>01/06/2026</t>
  </si>
  <si>
    <t>NCN376</t>
  </si>
  <si>
    <t>นางสาวนิภาพร พาหา</t>
  </si>
  <si>
    <t>MS.NIPHAPORN PAHA</t>
  </si>
  <si>
    <t>02/06/2026</t>
  </si>
  <si>
    <t>NCN393</t>
  </si>
  <si>
    <t>นางสาวจุฑามาศ รอดภัย</t>
  </si>
  <si>
    <t>MS.CHUTHAMAT ROTPHAI</t>
  </si>
  <si>
    <t>12/06/2026</t>
  </si>
  <si>
    <t>NCN411</t>
  </si>
  <si>
    <t>นางสาวชฏารัตน์ ศาลางาม</t>
  </si>
  <si>
    <t>MS.CHADARAT SALANGAM</t>
  </si>
  <si>
    <t>NCN414</t>
  </si>
  <si>
    <t>นายธวัช สร้อยทอง</t>
  </si>
  <si>
    <t>MR.CHAITHAWAT SROITONG</t>
  </si>
  <si>
    <t>NCN418</t>
  </si>
  <si>
    <t>นางสาวพวงผกา สุพรรณ</t>
  </si>
  <si>
    <t>MS.PUNGPHAKA SUPHAN</t>
  </si>
  <si>
    <t>NCN419</t>
  </si>
  <si>
    <t>นางสาวธิติพร ความรัมย์</t>
  </si>
  <si>
    <t>MS.THITIPORN KWAMRAM</t>
  </si>
  <si>
    <t>NCN425</t>
  </si>
  <si>
    <t>นางสาวกมลเนตร การุณ</t>
  </si>
  <si>
    <t>MS.KAMONNET KARUN</t>
  </si>
  <si>
    <t>NCN465</t>
  </si>
  <si>
    <t>นางสาวภาวินี ศรีประโคน</t>
  </si>
  <si>
    <t>MS.PAWINEE SRIPRAKHON</t>
  </si>
  <si>
    <t>NCN474</t>
  </si>
  <si>
    <t>นางสาวมุกถิตา ชาสงวน</t>
  </si>
  <si>
    <t>MS.MUKTHITA CHASANGUAM</t>
  </si>
  <si>
    <t>NCN481</t>
  </si>
  <si>
    <t>นางสาวเกศรินทร์ หาญสุวรรณชัย</t>
  </si>
  <si>
    <t>MS.KETSARIN HANSUWANNACHAI</t>
  </si>
  <si>
    <t>22/07/2026</t>
  </si>
  <si>
    <t>LH011</t>
  </si>
  <si>
    <t>MR.AUNG KAUNG MYAT</t>
  </si>
  <si>
    <t>Document Control</t>
  </si>
  <si>
    <t>Store</t>
  </si>
  <si>
    <t xml:space="preserve">Employee NO
</t>
  </si>
  <si>
    <t xml:space="preserve">Thai Name 
</t>
  </si>
  <si>
    <t xml:space="preserve">Full Name
</t>
  </si>
  <si>
    <t>Nationality</t>
  </si>
  <si>
    <t xml:space="preserve">Date of Join
</t>
  </si>
  <si>
    <t xml:space="preserve">Contract Type
</t>
  </si>
  <si>
    <t xml:space="preserve">Job Title
</t>
  </si>
  <si>
    <t xml:space="preserve">Gender </t>
  </si>
  <si>
    <t xml:space="preserve">Section
</t>
  </si>
  <si>
    <t>Engineering Support Section</t>
  </si>
  <si>
    <t>Section</t>
  </si>
  <si>
    <t>Support Production Section</t>
  </si>
  <si>
    <t>Machine Maintenance Section</t>
  </si>
  <si>
    <t>Tooling Maintenance Section</t>
  </si>
  <si>
    <t>Sorting Section</t>
  </si>
  <si>
    <t>Welding Section</t>
  </si>
  <si>
    <t>CNC Section</t>
  </si>
  <si>
    <t>Bending Section</t>
  </si>
  <si>
    <t>Taping Section</t>
  </si>
  <si>
    <t>Stamping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</si>
</sst>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1">
    <font>
      <sz val="11"/>
      <color theme="1"/>
      <name val="Times New Roman"/>
      <charset val="134"/>
      <scheme val="minor"/>
    </font>
    <font>
      <b/>
      <sz val="13.5"/>
      <color theme="1"/>
      <name val="Times New Roman"/>
      <charset val="134"/>
    </font>
    <font>
      <b/>
      <sz val="13.5"/>
      <color theme="1"/>
      <name val="等线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宋体"/>
      <charset val="134"/>
    </font>
    <font>
      <sz val="16"/>
      <name val="Angsana New"/>
      <charset val="134"/>
    </font>
    <font>
      <sz val="16"/>
      <color theme="1"/>
      <name val="Angsana New"/>
      <charset val="134"/>
    </font>
    <font>
      <sz val="16"/>
      <color theme="1"/>
      <name val="Angsana New"/>
      <family val="1"/>
    </font>
    <font>
      <sz val="10"/>
      <name val="Arial"/>
      <charset val="134"/>
    </font>
    <font>
      <sz val="16"/>
      <name val="Angsana New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9" fillId="0" borderId="0">
      <protection locked="0"/>
    </xf>
  </cellStyleXfs>
  <cellXfs count="30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64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2" borderId="0" xfId="0" applyFont="1" applyFill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left" vertical="center"/>
    </xf>
    <xf numFmtId="164" fontId="9" fillId="0" borderId="1" xfId="1" applyNumberForma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14" fontId="6" fillId="0" borderId="3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4A5F8237-9D66-4599-A885-BE81A10760B6}"/>
  </cellStyles>
  <dxfs count="5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52;&#3615;&#3621;&#3660;&#3619;&#3634;&#3618;&#3594;&#3639;&#3656;&#3629;&#3614;&#3609;&#3633;&#3585;&#3591;&#3634;&#3609;&#3610;&#3619;&#3636;&#3625;&#3633;&#3607;%20(&#3629;&#3633;&#3614;&#3648;&#3604;&#3605;%2004-05-2026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Admin/Downloads/3.&#3619;&#3634;&#3618;&#3594;&#3639;&#3656;&#3629;%20&#3614;&#3609;&#3633;&#3585;&#3591;&#3634;&#3609;&#3592;&#3636;&#3609;&#3619;&#3657;&#3591;/&#3652;&#3615;&#3621;&#3660;&#3619;&#3634;&#3618;&#3594;&#3639;&#3656;&#3629;&#3614;&#3609;&#3633;&#3585;&#3591;&#3634;&#3609;&#3610;&#3619;&#3636;&#3625;&#3633;&#3607;%20(&#3629;&#3633;&#3614;&#3648;&#3604;&#3605;%2019-03-2026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52;&#3615;&#3621;&#3660;&#3619;&#3634;&#3618;&#3594;&#3639;&#3656;&#3629;&#3614;&#3609;&#3633;&#3585;&#3591;&#3634;&#3609;&#3610;&#3619;&#3636;&#3625;&#3633;&#3607;%20(&#3629;&#3633;&#3614;&#3648;&#3604;&#3605;%2022-05-2026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52;&#3615;&#3621;&#3660;&#3619;&#3634;&#3618;&#3594;&#3639;&#3656;&#3629;&#3614;&#3609;&#3633;&#3585;&#3591;&#3634;&#3609;&#3610;&#3619;&#3636;&#3625;&#3633;&#3607;%20(&#3629;&#3633;&#3614;&#3648;&#3604;&#3605;%2025-04-20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去施耐德培训"/>
      <sheetName val="人员稳定率"/>
      <sheetName val="组织结构"/>
      <sheetName val="有图片มีรูปถ่าย"/>
      <sheetName val="中文"/>
      <sheetName val="รูปพนักงาน  照片  "/>
      <sheetName val="ประวัติพนักงาน "/>
      <sheetName val="DATA"/>
      <sheetName val="临时员工"/>
      <sheetName val="ลาออก-辞职"/>
      <sheetName val="เซ็นสัญญา"/>
      <sheetName val="รายชื่อตรวจประวัติ"/>
      <sheetName val="ลาออก"/>
      <sheetName val="ลาออก (2)"/>
      <sheetName val="เปิดบัญชี"/>
      <sheetName val="Sheet3"/>
      <sheetName val="แจ้งเข้าประกันสังคม"/>
      <sheetName val="บันทึกใบเตือน"/>
      <sheetName val="เซ็นสัญญา (2)"/>
      <sheetName val="เซ็นใบผ่าโปร"/>
      <sheetName val="Sheet1"/>
      <sheetName val="Sheet2"/>
      <sheetName val="พนักงาน อายุงานครบ1ปี"/>
      <sheetName val="DATA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B2" t="str">
            <v>รหัสพนักงาน
工号</v>
          </cell>
          <cell r="C2" t="str">
            <v>ชื่อ-สกุล (ภาษาไทย)
泰文名字</v>
          </cell>
        </row>
        <row r="3">
          <cell r="B3">
            <v>61002</v>
          </cell>
          <cell r="C3" t="str">
            <v>นายวีรพล แสนสิม</v>
          </cell>
        </row>
        <row r="4">
          <cell r="B4">
            <v>61011</v>
          </cell>
          <cell r="C4" t="str">
            <v>นายสามารถ กัญจนพานิช</v>
          </cell>
        </row>
        <row r="5">
          <cell r="B5">
            <v>62011</v>
          </cell>
          <cell r="C5" t="str">
            <v>นางสาวปวีณา นิลวารีย์</v>
          </cell>
        </row>
        <row r="6">
          <cell r="B6">
            <v>63009</v>
          </cell>
          <cell r="C6" t="str">
            <v>นายภาคภูมิ เยเซอะ</v>
          </cell>
        </row>
        <row r="7">
          <cell r="B7">
            <v>64003</v>
          </cell>
          <cell r="C7" t="str">
            <v>นายณรงค์วิทย์ แก้วสาร</v>
          </cell>
        </row>
        <row r="8">
          <cell r="B8">
            <v>64006</v>
          </cell>
          <cell r="C8" t="str">
            <v>นางสาวลัดดาพร กมล</v>
          </cell>
        </row>
        <row r="9">
          <cell r="B9">
            <v>64015</v>
          </cell>
          <cell r="C9" t="str">
            <v>นางสาวบังอร โสลา</v>
          </cell>
        </row>
        <row r="10">
          <cell r="B10">
            <v>64016</v>
          </cell>
          <cell r="C10" t="str">
            <v>นางสาวอรพิน เหลาบับภา</v>
          </cell>
        </row>
        <row r="11">
          <cell r="B11">
            <v>64028</v>
          </cell>
          <cell r="C11" t="str">
            <v>阚崎</v>
          </cell>
        </row>
        <row r="12">
          <cell r="B12">
            <v>64058</v>
          </cell>
          <cell r="C12" t="str">
            <v>นายรณชัย แซ่ย้าง</v>
          </cell>
        </row>
        <row r="13">
          <cell r="B13">
            <v>65003</v>
          </cell>
          <cell r="C13" t="str">
            <v>นายพีรพล แสนสิม</v>
          </cell>
        </row>
        <row r="14">
          <cell r="B14">
            <v>65014</v>
          </cell>
          <cell r="C14" t="str">
            <v>นางสาวอารีย์ แซ่ม้า</v>
          </cell>
        </row>
        <row r="15">
          <cell r="B15">
            <v>65024</v>
          </cell>
          <cell r="C15" t="str">
            <v>นางสาวธิดา จะลา</v>
          </cell>
        </row>
        <row r="16">
          <cell r="B16">
            <v>65025</v>
          </cell>
          <cell r="C16" t="str">
            <v>นายทรงพล ศิริจันทร์</v>
          </cell>
        </row>
        <row r="17">
          <cell r="B17">
            <v>65027</v>
          </cell>
          <cell r="C17" t="str">
            <v>นางสาวสุภาพร ปิ่นทอง</v>
          </cell>
        </row>
        <row r="18">
          <cell r="B18">
            <v>65033</v>
          </cell>
          <cell r="C18" t="str">
            <v>นางสาวลักษมณ มหาโชติ</v>
          </cell>
        </row>
        <row r="19">
          <cell r="B19">
            <v>65035</v>
          </cell>
          <cell r="C19" t="str">
            <v>นางสาวนิตยา จักโนวัน</v>
          </cell>
        </row>
        <row r="20">
          <cell r="B20">
            <v>66005</v>
          </cell>
          <cell r="C20" t="str">
            <v>นายไพวัลย์ รังสุวรรณ์</v>
          </cell>
        </row>
        <row r="21">
          <cell r="B21">
            <v>66016</v>
          </cell>
          <cell r="C21" t="str">
            <v>นายกิตติธัช หม่อมสละ</v>
          </cell>
        </row>
        <row r="22">
          <cell r="B22">
            <v>66029</v>
          </cell>
          <cell r="C22" t="str">
            <v>นายฐานันดร โททำ</v>
          </cell>
        </row>
        <row r="23">
          <cell r="B23">
            <v>66038</v>
          </cell>
          <cell r="C23" t="str">
            <v>นางสาวฝนทิพย์ ทัพอินทร์</v>
          </cell>
        </row>
        <row r="24">
          <cell r="B24">
            <v>66043</v>
          </cell>
          <cell r="C24" t="str">
            <v>นางสาวพัชดา เรืองไชย</v>
          </cell>
        </row>
        <row r="25">
          <cell r="B25">
            <v>66044</v>
          </cell>
          <cell r="C25" t="str">
            <v>นางสาวอรทัย วงษาชัย</v>
          </cell>
        </row>
        <row r="26">
          <cell r="B26">
            <v>66047</v>
          </cell>
          <cell r="C26" t="str">
            <v>นายประชัน เมืองคง</v>
          </cell>
        </row>
        <row r="27">
          <cell r="B27">
            <v>66051</v>
          </cell>
          <cell r="C27" t="str">
            <v>นางสาวกวิสรา สุภาพันธ์</v>
          </cell>
        </row>
        <row r="28">
          <cell r="B28">
            <v>66054</v>
          </cell>
          <cell r="C28" t="str">
            <v>นางสาวสุวนันท์ ธงชัย</v>
          </cell>
        </row>
        <row r="29">
          <cell r="B29">
            <v>66055</v>
          </cell>
          <cell r="C29" t="str">
            <v>นางสาวภารดี ชาภูธร</v>
          </cell>
        </row>
        <row r="30">
          <cell r="B30">
            <v>66059</v>
          </cell>
          <cell r="C30" t="str">
            <v>นางสาวเพ็ญสิริ สิงห์ทอง</v>
          </cell>
        </row>
        <row r="31">
          <cell r="B31">
            <v>66060</v>
          </cell>
          <cell r="C31" t="str">
            <v>นายผดุงศักดิ์ จันสีลา</v>
          </cell>
        </row>
        <row r="32">
          <cell r="B32">
            <v>66064</v>
          </cell>
          <cell r="C32" t="str">
            <v>นายอรรถพร แสงตะวัน</v>
          </cell>
        </row>
        <row r="33">
          <cell r="B33">
            <v>66076</v>
          </cell>
          <cell r="C33" t="str">
            <v>นางสาวปรางทิพย์ เชื้อจีน</v>
          </cell>
        </row>
        <row r="34">
          <cell r="B34">
            <v>66097</v>
          </cell>
          <cell r="C34" t="str">
            <v>MR.RAHUL SUDHAKARAN</v>
          </cell>
        </row>
        <row r="35">
          <cell r="B35">
            <v>66106</v>
          </cell>
          <cell r="C35" t="str">
            <v>นางสาวสุปรียา สนสร้อย</v>
          </cell>
        </row>
        <row r="36">
          <cell r="B36">
            <v>66114</v>
          </cell>
          <cell r="C36" t="str">
            <v>นางสาวธนิศรา ภูกองทอง</v>
          </cell>
        </row>
        <row r="37">
          <cell r="B37">
            <v>66118</v>
          </cell>
          <cell r="C37" t="str">
            <v>นางสาวศุกร์กัญญา เนาวราช</v>
          </cell>
        </row>
        <row r="38">
          <cell r="B38">
            <v>66119</v>
          </cell>
          <cell r="C38" t="str">
            <v>นายจตุพงษ์ วงษาสืบ</v>
          </cell>
        </row>
        <row r="39">
          <cell r="B39">
            <v>67009</v>
          </cell>
          <cell r="C39" t="str">
            <v>นายกิตติวัฒน์ พันหล่อมโส</v>
          </cell>
        </row>
        <row r="40">
          <cell r="B40">
            <v>67012</v>
          </cell>
          <cell r="C40" t="str">
            <v>นายธีรนันท์ ทองโกย</v>
          </cell>
        </row>
        <row r="41">
          <cell r="B41">
            <v>67019</v>
          </cell>
          <cell r="C41" t="str">
            <v>นายธนกร บุญประเสริฐ</v>
          </cell>
        </row>
        <row r="42">
          <cell r="B42">
            <v>67024</v>
          </cell>
          <cell r="C42" t="str">
            <v>นายพัชรพล ลุขำ</v>
          </cell>
        </row>
        <row r="43">
          <cell r="B43">
            <v>67025</v>
          </cell>
          <cell r="C43" t="str">
            <v>นายธนกฤต บุญประเสริฐ</v>
          </cell>
        </row>
        <row r="44">
          <cell r="B44">
            <v>67031</v>
          </cell>
          <cell r="C44" t="str">
            <v>นางสาวมินตรา อัคนิจ</v>
          </cell>
        </row>
        <row r="45">
          <cell r="B45">
            <v>67034</v>
          </cell>
          <cell r="C45" t="str">
            <v>นางสาวอวยพร ภูทัด</v>
          </cell>
        </row>
        <row r="46">
          <cell r="B46">
            <v>67046</v>
          </cell>
          <cell r="C46" t="str">
            <v>นายเกียรติศักดิ์ จุปะมะโน</v>
          </cell>
        </row>
        <row r="47">
          <cell r="B47">
            <v>67065</v>
          </cell>
          <cell r="C47" t="str">
            <v>นายอุทิส สายศรี</v>
          </cell>
        </row>
        <row r="48">
          <cell r="B48">
            <v>67070</v>
          </cell>
          <cell r="C48" t="str">
            <v>ว่าที่ร้อยตรีทวีวุฒิ คำโพธิ์</v>
          </cell>
        </row>
        <row r="49">
          <cell r="B49">
            <v>67071</v>
          </cell>
          <cell r="C49" t="str">
            <v>นางสาวจันทิมา อ้นเกตุ</v>
          </cell>
        </row>
        <row r="50">
          <cell r="B50">
            <v>67074</v>
          </cell>
          <cell r="C50" t="str">
            <v>นายพิเชษฐ์ วรรณวงศ์</v>
          </cell>
        </row>
        <row r="51">
          <cell r="B51">
            <v>67083</v>
          </cell>
          <cell r="C51" t="str">
            <v>นางสาวอมรพรรณ สวดสม</v>
          </cell>
        </row>
        <row r="52">
          <cell r="B52">
            <v>67087</v>
          </cell>
          <cell r="C52" t="str">
            <v>นางสาวอรจิรา กมล</v>
          </cell>
        </row>
        <row r="53">
          <cell r="B53">
            <v>67093</v>
          </cell>
          <cell r="C53" t="str">
            <v>นางสาวกัลยา แซ่ม้า</v>
          </cell>
        </row>
        <row r="54">
          <cell r="B54">
            <v>67094</v>
          </cell>
          <cell r="C54" t="str">
            <v>นางสาวอรุณธิดา ศรีชมภู</v>
          </cell>
        </row>
        <row r="55">
          <cell r="B55">
            <v>67096</v>
          </cell>
          <cell r="C55" t="str">
            <v>นางสาวดวงกมล นันทะกุล</v>
          </cell>
        </row>
        <row r="56">
          <cell r="B56">
            <v>67101</v>
          </cell>
          <cell r="C56" t="str">
            <v>นางสาวขวัญหทัย ช่วยศิริ</v>
          </cell>
        </row>
        <row r="57">
          <cell r="B57">
            <v>67104</v>
          </cell>
          <cell r="C57" t="str">
            <v>นายบุพกร ดวงจันทร์</v>
          </cell>
        </row>
        <row r="58">
          <cell r="B58">
            <v>67106</v>
          </cell>
          <cell r="C58" t="str">
            <v>นายจักรกฤษ แก้วกาเหรียญ</v>
          </cell>
        </row>
        <row r="59">
          <cell r="B59">
            <v>67108</v>
          </cell>
          <cell r="C59" t="str">
            <v>นางสาวสุดารัตน์ จะยอ</v>
          </cell>
        </row>
        <row r="60">
          <cell r="B60">
            <v>67111</v>
          </cell>
          <cell r="C60" t="str">
            <v>นายชนาธิป พิมพ์แสง</v>
          </cell>
        </row>
        <row r="61">
          <cell r="B61">
            <v>67117</v>
          </cell>
          <cell r="C61" t="str">
            <v>นายธนวัฒน์ นาเย</v>
          </cell>
        </row>
        <row r="62">
          <cell r="B62">
            <v>67124</v>
          </cell>
          <cell r="C62" t="str">
            <v>นายสาธิต จรดเมฆ</v>
          </cell>
        </row>
        <row r="63">
          <cell r="B63">
            <v>67126</v>
          </cell>
          <cell r="C63" t="str">
            <v>นายวรรณลพ  สีสงัด</v>
          </cell>
        </row>
        <row r="64">
          <cell r="B64">
            <v>67130</v>
          </cell>
          <cell r="C64" t="str">
            <v>นางสาวเกษศิรินทร์ บุตรชน</v>
          </cell>
        </row>
        <row r="65">
          <cell r="B65">
            <v>67134</v>
          </cell>
          <cell r="C65" t="str">
            <v>นายทัพพสาร เม้าชุมแสง</v>
          </cell>
        </row>
        <row r="66">
          <cell r="B66">
            <v>67138</v>
          </cell>
          <cell r="C66" t="str">
            <v>นายนที มหายศนันท์</v>
          </cell>
        </row>
        <row r="67">
          <cell r="B67">
            <v>67139</v>
          </cell>
          <cell r="C67" t="str">
            <v>นายรัฐกร หมื่นสา</v>
          </cell>
        </row>
        <row r="68">
          <cell r="B68">
            <v>67143</v>
          </cell>
          <cell r="C68" t="str">
            <v>นายวรรณกร ทองดีมีศรี</v>
          </cell>
        </row>
        <row r="69">
          <cell r="B69">
            <v>67148</v>
          </cell>
          <cell r="C69" t="str">
            <v>นางสาวนิตยา แซ่กือ</v>
          </cell>
        </row>
        <row r="70">
          <cell r="B70">
            <v>67150</v>
          </cell>
          <cell r="C70" t="str">
            <v>นายธรรมนูญ ขุนทอง</v>
          </cell>
        </row>
        <row r="71">
          <cell r="B71">
            <v>67151</v>
          </cell>
          <cell r="C71" t="str">
            <v>นายเสกสรร อินสอน</v>
          </cell>
        </row>
        <row r="72">
          <cell r="B72">
            <v>67153</v>
          </cell>
          <cell r="C72" t="str">
            <v>นายวรวิทย์ คำลือชัย</v>
          </cell>
        </row>
        <row r="73">
          <cell r="B73">
            <v>67156</v>
          </cell>
          <cell r="C73" t="str">
            <v>นายอภิวัฒน์ สุทธสิงห์</v>
          </cell>
        </row>
        <row r="74">
          <cell r="B74">
            <v>67160</v>
          </cell>
          <cell r="C74" t="str">
            <v>นายวรรณธนะ  ผูกฟัก</v>
          </cell>
        </row>
        <row r="75">
          <cell r="B75">
            <v>67161</v>
          </cell>
          <cell r="C75" t="str">
            <v>นางสาวดวงนภา สุวรรณภักดี</v>
          </cell>
        </row>
        <row r="76">
          <cell r="B76">
            <v>68001</v>
          </cell>
          <cell r="C76" t="str">
            <v>นายณัฐภัทร  นามสุโพธิ์</v>
          </cell>
        </row>
        <row r="77">
          <cell r="B77">
            <v>68004</v>
          </cell>
          <cell r="C77" t="str">
            <v>นางสาวกนกวรรณ  ศักเหลา</v>
          </cell>
        </row>
        <row r="78">
          <cell r="B78">
            <v>68005</v>
          </cell>
          <cell r="C78" t="str">
            <v>นางสาวธิดา  แซ่กือ</v>
          </cell>
        </row>
        <row r="79">
          <cell r="B79">
            <v>68017</v>
          </cell>
          <cell r="C79" t="str">
            <v>นายสิริคุปย์ แคว้นไธวง</v>
          </cell>
        </row>
        <row r="80">
          <cell r="B80">
            <v>68018</v>
          </cell>
          <cell r="C80" t="str">
            <v>นางสาวทัศนีย์  ม่อมมิตร</v>
          </cell>
        </row>
        <row r="81">
          <cell r="B81">
            <v>68019</v>
          </cell>
          <cell r="C81" t="str">
            <v>นางสาวแพรวนภา จิตรเอื้อ</v>
          </cell>
        </row>
        <row r="82">
          <cell r="B82">
            <v>68025</v>
          </cell>
          <cell r="C82" t="str">
            <v>นางสาวกาญจนา แซ่กือ</v>
          </cell>
        </row>
        <row r="83">
          <cell r="B83">
            <v>68029</v>
          </cell>
          <cell r="C83" t="str">
            <v>นายกฤตเมธ  เสาเวียง</v>
          </cell>
        </row>
        <row r="84">
          <cell r="B84">
            <v>68032</v>
          </cell>
          <cell r="C84" t="str">
            <v>นางสาวอรณีย์  หมู่หมื่นศรี</v>
          </cell>
        </row>
        <row r="85">
          <cell r="B85">
            <v>68034</v>
          </cell>
          <cell r="C85" t="str">
            <v>นายวีระกร  อุดทังไข</v>
          </cell>
        </row>
        <row r="86">
          <cell r="B86">
            <v>68036</v>
          </cell>
          <cell r="C86" t="str">
            <v>นางสาวพันทิวา ไขคำ</v>
          </cell>
        </row>
        <row r="87">
          <cell r="B87">
            <v>68037</v>
          </cell>
          <cell r="C87" t="str">
            <v>Dang Jianlin</v>
          </cell>
        </row>
        <row r="88">
          <cell r="B88">
            <v>68040</v>
          </cell>
          <cell r="C88" t="str">
            <v>นายเดชบดินทร์ กิจยศชัยปกรณ์</v>
          </cell>
        </row>
        <row r="89">
          <cell r="B89">
            <v>68042</v>
          </cell>
          <cell r="C89" t="str">
            <v>Song Liangliang</v>
          </cell>
        </row>
        <row r="90">
          <cell r="B90">
            <v>68043</v>
          </cell>
          <cell r="C90" t="str">
            <v>นายวันชัย ขุมทอง</v>
          </cell>
        </row>
        <row r="91">
          <cell r="B91">
            <v>68048</v>
          </cell>
          <cell r="C91" t="str">
            <v>นางสาวอรญา ทองยศ</v>
          </cell>
        </row>
        <row r="92">
          <cell r="B92">
            <v>68049</v>
          </cell>
          <cell r="C92" t="str">
            <v>นายนราธิป บุญภูมิ</v>
          </cell>
        </row>
        <row r="93">
          <cell r="B93">
            <v>68050</v>
          </cell>
          <cell r="C93" t="str">
            <v>นายเฉลิมวุฒิ เพ็งประโคน</v>
          </cell>
        </row>
        <row r="94">
          <cell r="B94">
            <v>68051</v>
          </cell>
          <cell r="C94" t="str">
            <v>นายสมโภชน์ เหลี่ยมล้ำ</v>
          </cell>
        </row>
        <row r="95">
          <cell r="B95">
            <v>68052</v>
          </cell>
          <cell r="C95" t="str">
            <v>นางสาวภัสนันท์ เข้มแข็ง</v>
          </cell>
        </row>
        <row r="96">
          <cell r="B96">
            <v>68055</v>
          </cell>
          <cell r="C96" t="str">
            <v>นายภานุพงศ์ บุญเฮ้า</v>
          </cell>
        </row>
        <row r="97">
          <cell r="B97">
            <v>68056</v>
          </cell>
          <cell r="C97" t="str">
            <v>นายสุชาติ พลชาลี</v>
          </cell>
        </row>
        <row r="98">
          <cell r="B98">
            <v>68060</v>
          </cell>
          <cell r="C98" t="str">
            <v>นางสาวกันต์วรา  แก้วกันทา</v>
          </cell>
        </row>
        <row r="99">
          <cell r="B99">
            <v>68061</v>
          </cell>
          <cell r="C99" t="str">
            <v>นางสาวจิตรลดา  พิพัฒนาสุภรณ์</v>
          </cell>
        </row>
        <row r="100">
          <cell r="B100">
            <v>68062</v>
          </cell>
          <cell r="C100" t="str">
            <v>นางสาวยุวดี  อินทรีย์</v>
          </cell>
        </row>
        <row r="101">
          <cell r="B101">
            <v>68063</v>
          </cell>
          <cell r="C101" t="str">
            <v>นายพงษ์ศักดิ์  ไชยคุณ</v>
          </cell>
        </row>
        <row r="102">
          <cell r="B102">
            <v>68068</v>
          </cell>
          <cell r="C102" t="str">
            <v>นายธนานัต  ดอนลาดลี</v>
          </cell>
        </row>
        <row r="103">
          <cell r="B103">
            <v>69001</v>
          </cell>
          <cell r="C103" t="str">
            <v>นายกิตติศักดิ์  ดอนลาดลี</v>
          </cell>
        </row>
        <row r="104">
          <cell r="B104">
            <v>69005</v>
          </cell>
          <cell r="C104" t="str">
            <v>นายดำรงค์  ปัตพี</v>
          </cell>
        </row>
        <row r="105">
          <cell r="B105">
            <v>69008</v>
          </cell>
          <cell r="C105" t="str">
            <v>นายวชิรวิทย์  ร่องจิต</v>
          </cell>
        </row>
        <row r="106">
          <cell r="B106">
            <v>69011</v>
          </cell>
          <cell r="C106" t="str">
            <v>นายธิราทร  ยศสันเทียะ</v>
          </cell>
        </row>
        <row r="107">
          <cell r="B107">
            <v>69013</v>
          </cell>
          <cell r="C107" t="str">
            <v>นางสาววนิดา วิเชียร</v>
          </cell>
        </row>
        <row r="108">
          <cell r="B108">
            <v>69015</v>
          </cell>
          <cell r="C108" t="str">
            <v>นายรณกฤต กาทอง</v>
          </cell>
        </row>
        <row r="109">
          <cell r="B109">
            <v>69016</v>
          </cell>
          <cell r="C109" t="str">
            <v>นายสุริยา  ตาเปี้ยสืบ</v>
          </cell>
        </row>
        <row r="110">
          <cell r="B110">
            <v>69017</v>
          </cell>
          <cell r="C110" t="str">
            <v>นางสาวสิราวรรณ ประเสริฐสังข์</v>
          </cell>
        </row>
        <row r="111">
          <cell r="B111">
            <v>69020</v>
          </cell>
          <cell r="C111" t="str">
            <v>นายภูมิรพี  ดุริยดำรงกุล</v>
          </cell>
        </row>
        <row r="112">
          <cell r="B112">
            <v>69021</v>
          </cell>
          <cell r="C112" t="str">
            <v>นายจักรินทร์  คะสาร</v>
          </cell>
        </row>
        <row r="113">
          <cell r="B113">
            <v>69022</v>
          </cell>
          <cell r="C113" t="str">
            <v>นายนัฐวุฒิ  เสย์</v>
          </cell>
        </row>
        <row r="114">
          <cell r="B114">
            <v>69025</v>
          </cell>
          <cell r="C114" t="str">
            <v>นางสาววิภาวี  พันธุมาตร์</v>
          </cell>
        </row>
        <row r="115">
          <cell r="B115">
            <v>69029</v>
          </cell>
          <cell r="C115" t="str">
            <v>นายณัฐวุฒิ ลาวรรณ</v>
          </cell>
        </row>
        <row r="116">
          <cell r="B116">
            <v>69030</v>
          </cell>
          <cell r="C116" t="str">
            <v>นายอนันทการณ์ กงชุย</v>
          </cell>
        </row>
        <row r="117">
          <cell r="B117">
            <v>69031</v>
          </cell>
          <cell r="C117" t="str">
            <v>นายภรัณยู  สอนเสนา</v>
          </cell>
        </row>
        <row r="118">
          <cell r="B118">
            <v>69032</v>
          </cell>
          <cell r="C118" t="str">
            <v>นายธนพล การกระสัง</v>
          </cell>
        </row>
        <row r="119">
          <cell r="B119">
            <v>69033</v>
          </cell>
          <cell r="C119" t="str">
            <v>นายอำนวยชัย แหวนเงิน</v>
          </cell>
        </row>
        <row r="120">
          <cell r="B120">
            <v>69034</v>
          </cell>
          <cell r="C120" t="str">
            <v>นายอดิศักดิ์ สีแสง</v>
          </cell>
        </row>
        <row r="121">
          <cell r="B121">
            <v>69035</v>
          </cell>
          <cell r="C121" t="str">
            <v>นายอนุสรณ์ จิตณรงค์</v>
          </cell>
        </row>
        <row r="122">
          <cell r="B122">
            <v>69038</v>
          </cell>
          <cell r="C122" t="str">
            <v>MR.SU,PENGFEI</v>
          </cell>
        </row>
        <row r="123">
          <cell r="B123">
            <v>69039</v>
          </cell>
          <cell r="C123" t="str">
            <v>MR.JIANG,AIDONG</v>
          </cell>
        </row>
        <row r="124">
          <cell r="B124">
            <v>69040</v>
          </cell>
          <cell r="C124" t="str">
            <v>MS.ZHAO,SHOUZHU</v>
          </cell>
        </row>
        <row r="125">
          <cell r="B125">
            <v>69041</v>
          </cell>
          <cell r="C125" t="str">
            <v>MS.WAN,LIYU</v>
          </cell>
        </row>
        <row r="126">
          <cell r="B126">
            <v>69042</v>
          </cell>
          <cell r="C126" t="str">
            <v>นางสาวมลิวัลย์ มาโสภา</v>
          </cell>
        </row>
        <row r="127">
          <cell r="B127">
            <v>69046</v>
          </cell>
          <cell r="C127" t="str">
            <v>นายอานุภาพ ชาววงค์</v>
          </cell>
        </row>
        <row r="128">
          <cell r="B128">
            <v>69048</v>
          </cell>
          <cell r="C128" t="str">
            <v>นายวรวุฒิ นนธิจันทร์</v>
          </cell>
        </row>
        <row r="129">
          <cell r="B129">
            <v>69049</v>
          </cell>
          <cell r="C129" t="str">
            <v>นายภูริภัทร  สุระขันตี</v>
          </cell>
        </row>
        <row r="130">
          <cell r="B130">
            <v>69050</v>
          </cell>
          <cell r="C130" t="str">
            <v>นางสาวสุวรรณา หลวงพิบูลย์</v>
          </cell>
        </row>
        <row r="131">
          <cell r="B131">
            <v>69051</v>
          </cell>
          <cell r="C131" t="str">
            <v>นางสาวนิตยา บงแก้ว</v>
          </cell>
        </row>
        <row r="132">
          <cell r="B132">
            <v>69052</v>
          </cell>
          <cell r="C132" t="str">
            <v>นางสาวมลิดา สายที</v>
          </cell>
        </row>
        <row r="133">
          <cell r="B133">
            <v>69053</v>
          </cell>
          <cell r="C133" t="str">
            <v>นายรวิพันธ์ พันธุศิริ</v>
          </cell>
        </row>
        <row r="134">
          <cell r="B134">
            <v>69054</v>
          </cell>
          <cell r="C134" t="str">
            <v>นางสาวณัฎฐา หงษ์สำโรง</v>
          </cell>
        </row>
        <row r="135">
          <cell r="B135">
            <v>69055</v>
          </cell>
          <cell r="C135" t="str">
            <v>นางสาววิไลพร นามวงค์</v>
          </cell>
        </row>
        <row r="136">
          <cell r="B136">
            <v>69056</v>
          </cell>
          <cell r="C136" t="str">
            <v>นางสาวรวิสรา นิรานนท์</v>
          </cell>
        </row>
        <row r="137">
          <cell r="B137">
            <v>69057</v>
          </cell>
          <cell r="C137" t="str">
            <v>นาย ไกรศักดิ์ คำธิศรี</v>
          </cell>
        </row>
        <row r="138">
          <cell r="B138">
            <v>69058</v>
          </cell>
          <cell r="C138" t="str">
            <v>นายณวัตน์ กองขัน</v>
          </cell>
        </row>
        <row r="139">
          <cell r="B139">
            <v>69059</v>
          </cell>
          <cell r="C139" t="str">
            <v>นายณัฐพงษ์ บัวงาม</v>
          </cell>
        </row>
        <row r="140">
          <cell r="B140">
            <v>69060</v>
          </cell>
          <cell r="C140" t="str">
            <v>นางสาวรมิตาสิริ ท่วมประจักษ์</v>
          </cell>
        </row>
        <row r="141">
          <cell r="B141">
            <v>69061</v>
          </cell>
          <cell r="C141" t="str">
            <v>MS.YANG,QIONGXIU</v>
          </cell>
        </row>
        <row r="142">
          <cell r="B142">
            <v>69062</v>
          </cell>
          <cell r="C142" t="str">
            <v>นายณัฐภูมิ ดีกาว</v>
          </cell>
        </row>
        <row r="143">
          <cell r="B143">
            <v>69063</v>
          </cell>
          <cell r="C143" t="str">
            <v>นายทนาวุฒิ พิเศษฤทธิ์</v>
          </cell>
        </row>
        <row r="144">
          <cell r="B144">
            <v>69064</v>
          </cell>
          <cell r="C144" t="str">
            <v>นางสาวอันน์-คัทรีน-คัวร์ซีแฟน</v>
          </cell>
        </row>
        <row r="145">
          <cell r="B145">
            <v>69065</v>
          </cell>
          <cell r="C145" t="str">
            <v>นายอิสระ ผิวเงิน</v>
          </cell>
        </row>
        <row r="146">
          <cell r="B146">
            <v>69066</v>
          </cell>
          <cell r="C146" t="str">
            <v>นายเกียรติศักดิ์ แล่เพ็ชร</v>
          </cell>
        </row>
        <row r="147">
          <cell r="B147">
            <v>69067</v>
          </cell>
          <cell r="C147" t="str">
            <v>นายสิทธิมงคล พลเรือน</v>
          </cell>
        </row>
        <row r="148">
          <cell r="B148">
            <v>69068</v>
          </cell>
          <cell r="C148" t="str">
            <v>นายอภิชาติ นามกิง</v>
          </cell>
        </row>
        <row r="149">
          <cell r="B149">
            <v>69069</v>
          </cell>
          <cell r="C149" t="str">
            <v>นางสาวสุนทรีย์ ฤทธิ์ชัยเดช</v>
          </cell>
        </row>
        <row r="150">
          <cell r="B150">
            <v>69070</v>
          </cell>
          <cell r="C150" t="str">
            <v>นายเชาวลิต มูลปัง</v>
          </cell>
        </row>
        <row r="151">
          <cell r="B151">
            <v>69071</v>
          </cell>
          <cell r="C151" t="str">
            <v>นางสาววสิตา คุณวงค์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去施耐德培训"/>
      <sheetName val="人员稳定率"/>
      <sheetName val="组织结构"/>
      <sheetName val="有图片มีรูปถ่าย"/>
      <sheetName val="中文"/>
      <sheetName val="รูปพนักงาน  照片  "/>
      <sheetName val="ประวัติพนักงาน "/>
      <sheetName val="DATA"/>
      <sheetName val="临时员工"/>
      <sheetName val="ลาออก-辞职"/>
      <sheetName val="เซ็นสัญญา"/>
      <sheetName val="รายชื่อตรวจประวัติ"/>
      <sheetName val="ลาออก"/>
      <sheetName val="ลาออก (2)"/>
      <sheetName val="เปิดบัญชี"/>
      <sheetName val="แจ้งเข้าประกันสังคม"/>
      <sheetName val="บันทึกใบเตือน"/>
      <sheetName val="เซ็นสัญญา (2)"/>
      <sheetName val="เซ็นใบผ่าโปร"/>
      <sheetName val="Sheet1"/>
      <sheetName val="Sheet2"/>
      <sheetName val="พนักงาน อายุงานครบ1ปี"/>
      <sheetName val="DATA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B2" t="str">
            <v>รหัสพนักงาน
工号</v>
          </cell>
          <cell r="C2" t="str">
            <v>ชื่อ-สกุล (ภาษาไทย)
泰文名字</v>
          </cell>
          <cell r="D2" t="str">
            <v>ชื่อ-สกุล (ภาษาอังกฤษ)
英文名字</v>
          </cell>
          <cell r="E2" t="str">
            <v>เพศ</v>
          </cell>
          <cell r="F2" t="str">
            <v>เริ่มทำงาน
入职日期</v>
          </cell>
        </row>
        <row r="3">
          <cell r="B3">
            <v>61002</v>
          </cell>
          <cell r="C3" t="str">
            <v>นายวีรพล แสนสิม</v>
          </cell>
          <cell r="D3" t="str">
            <v>MR.WEERAPHON SANSIM</v>
          </cell>
          <cell r="E3" t="str">
            <v>Male</v>
          </cell>
          <cell r="F3">
            <v>43222</v>
          </cell>
        </row>
        <row r="4">
          <cell r="B4">
            <v>61011</v>
          </cell>
          <cell r="C4" t="str">
            <v>นายสามารถ กัญจนพานิช</v>
          </cell>
          <cell r="D4" t="str">
            <v>MR. SAMART  KANJANAPHANICH</v>
          </cell>
          <cell r="E4" t="str">
            <v>Male</v>
          </cell>
          <cell r="F4">
            <v>43395</v>
          </cell>
        </row>
        <row r="5">
          <cell r="B5">
            <v>62011</v>
          </cell>
          <cell r="C5" t="str">
            <v>นางสาวปวีณา นิลวารีย์</v>
          </cell>
          <cell r="D5" t="str">
            <v>MISS PAWENA NILVAREE</v>
          </cell>
          <cell r="E5" t="str">
            <v>Female</v>
          </cell>
          <cell r="F5">
            <v>43788</v>
          </cell>
        </row>
        <row r="6">
          <cell r="B6">
            <v>63009</v>
          </cell>
          <cell r="C6" t="str">
            <v>นายภาคภูมิ เยเซอะ</v>
          </cell>
          <cell r="D6" t="str">
            <v>MR. PAKPHUM YESOE</v>
          </cell>
          <cell r="E6" t="str">
            <v>Male</v>
          </cell>
          <cell r="F6">
            <v>44053</v>
          </cell>
        </row>
        <row r="7">
          <cell r="B7">
            <v>64003</v>
          </cell>
          <cell r="C7" t="str">
            <v>นายณรงค์วิทย์ แก้วสาร</v>
          </cell>
          <cell r="D7" t="str">
            <v>MR. NARONGWIT KAEOSAN</v>
          </cell>
          <cell r="E7" t="str">
            <v>Male</v>
          </cell>
          <cell r="F7">
            <v>44228</v>
          </cell>
        </row>
        <row r="8">
          <cell r="B8">
            <v>64006</v>
          </cell>
          <cell r="C8" t="str">
            <v>นางสาวลัดดาพร กมล</v>
          </cell>
          <cell r="D8" t="str">
            <v>MISS LADDAPHON KAMON</v>
          </cell>
          <cell r="E8" t="str">
            <v>Female</v>
          </cell>
          <cell r="F8">
            <v>44233</v>
          </cell>
        </row>
        <row r="9">
          <cell r="B9">
            <v>64015</v>
          </cell>
          <cell r="C9" t="str">
            <v>นางสาวบังอร โสลา</v>
          </cell>
          <cell r="D9" t="str">
            <v>MISS BANGON SOLA</v>
          </cell>
          <cell r="E9" t="str">
            <v>Female</v>
          </cell>
          <cell r="F9">
            <v>44286</v>
          </cell>
        </row>
        <row r="10">
          <cell r="B10">
            <v>64016</v>
          </cell>
          <cell r="C10" t="str">
            <v>นางสาวอรพิน เหลาบับภา</v>
          </cell>
          <cell r="D10" t="str">
            <v>MISS ORAPIN LAOBABPA</v>
          </cell>
          <cell r="E10" t="str">
            <v>Female</v>
          </cell>
          <cell r="F10">
            <v>44308</v>
          </cell>
        </row>
        <row r="11">
          <cell r="B11">
            <v>64028</v>
          </cell>
          <cell r="C11" t="str">
            <v>阚崎</v>
          </cell>
          <cell r="D11" t="str">
            <v>MR.KAN,QI</v>
          </cell>
          <cell r="E11" t="str">
            <v>Male</v>
          </cell>
          <cell r="F11">
            <v>44317</v>
          </cell>
        </row>
        <row r="12">
          <cell r="B12">
            <v>64058</v>
          </cell>
          <cell r="C12" t="str">
            <v>นายรณชัย แซ่ย้าง</v>
          </cell>
          <cell r="D12" t="str">
            <v>MR. RONNACHAI SAEYANG</v>
          </cell>
          <cell r="E12" t="str">
            <v>Male</v>
          </cell>
          <cell r="F12">
            <v>44481</v>
          </cell>
        </row>
        <row r="13">
          <cell r="B13">
            <v>65003</v>
          </cell>
          <cell r="C13" t="str">
            <v>นายพีรพล แสนสิม</v>
          </cell>
          <cell r="D13" t="str">
            <v>MR. PHIRAPHON SAENSIM</v>
          </cell>
          <cell r="E13" t="str">
            <v>Male</v>
          </cell>
          <cell r="F13">
            <v>44592</v>
          </cell>
        </row>
        <row r="14">
          <cell r="B14">
            <v>65013</v>
          </cell>
          <cell r="C14" t="str">
            <v>นางสาวณัฐธิกา ศรีพิษแก้ว</v>
          </cell>
          <cell r="D14" t="str">
            <v>MISS NATTHAIKA SRIPHITKAEO</v>
          </cell>
          <cell r="E14" t="str">
            <v>Female</v>
          </cell>
          <cell r="F14">
            <v>44652</v>
          </cell>
        </row>
        <row r="15">
          <cell r="B15">
            <v>65014</v>
          </cell>
          <cell r="C15" t="str">
            <v>นางสาวอารีย์ แซ่ม้า</v>
          </cell>
          <cell r="D15" t="str">
            <v>MISS AREE SAEMA</v>
          </cell>
          <cell r="E15" t="str">
            <v>Female</v>
          </cell>
          <cell r="F15">
            <v>44655</v>
          </cell>
        </row>
        <row r="16">
          <cell r="B16">
            <v>65024</v>
          </cell>
          <cell r="C16" t="str">
            <v>นางสาวธิดา จะลา</v>
          </cell>
          <cell r="D16" t="str">
            <v>MISS THIDA CHALA</v>
          </cell>
          <cell r="E16" t="str">
            <v>Female</v>
          </cell>
          <cell r="F16">
            <v>44686</v>
          </cell>
        </row>
        <row r="17">
          <cell r="B17">
            <v>65025</v>
          </cell>
          <cell r="C17" t="str">
            <v>นายทรงพล ศิริจันทร์</v>
          </cell>
          <cell r="D17" t="str">
            <v>MR. SONGPHON SIRICHAN</v>
          </cell>
          <cell r="E17" t="str">
            <v>Male</v>
          </cell>
          <cell r="F17">
            <v>44690</v>
          </cell>
        </row>
        <row r="18">
          <cell r="B18">
            <v>65027</v>
          </cell>
          <cell r="C18" t="str">
            <v>นางสาวสุภาพร ปิ่นทอง</v>
          </cell>
          <cell r="D18" t="str">
            <v>MISS SUPAPORN PINTONG</v>
          </cell>
          <cell r="E18" t="str">
            <v>Female</v>
          </cell>
          <cell r="F18">
            <v>44718</v>
          </cell>
        </row>
        <row r="19">
          <cell r="B19">
            <v>65033</v>
          </cell>
          <cell r="C19" t="str">
            <v>นางสาวลักษมณ มหาโชติ</v>
          </cell>
          <cell r="D19" t="str">
            <v>MISS LAGSAMON MAHACHOTI</v>
          </cell>
          <cell r="E19" t="str">
            <v>Female</v>
          </cell>
          <cell r="F19">
            <v>44781</v>
          </cell>
        </row>
        <row r="20">
          <cell r="B20">
            <v>65035</v>
          </cell>
          <cell r="C20" t="str">
            <v>นางสาวนิตยา จักโนวัน</v>
          </cell>
          <cell r="D20" t="str">
            <v>MISS NITAYA JAKNOWAN</v>
          </cell>
          <cell r="E20" t="str">
            <v>Female</v>
          </cell>
          <cell r="F20">
            <v>44791</v>
          </cell>
        </row>
        <row r="21">
          <cell r="B21">
            <v>66005</v>
          </cell>
          <cell r="C21" t="str">
            <v>นายไพวัลย์ รังสุวรรณ์</v>
          </cell>
          <cell r="D21" t="str">
            <v>MR. PAIWAN RANGSUWAN</v>
          </cell>
          <cell r="E21" t="str">
            <v>Male</v>
          </cell>
          <cell r="F21">
            <v>44951</v>
          </cell>
        </row>
        <row r="22">
          <cell r="B22">
            <v>66016</v>
          </cell>
          <cell r="C22" t="str">
            <v>นายกิตติธัช หม่อมสละ</v>
          </cell>
          <cell r="D22" t="str">
            <v>MR. KITTIHAT MOMSALA</v>
          </cell>
          <cell r="E22" t="str">
            <v>Male</v>
          </cell>
          <cell r="F22">
            <v>45009</v>
          </cell>
        </row>
        <row r="23">
          <cell r="B23">
            <v>66024</v>
          </cell>
          <cell r="C23" t="str">
            <v>นางสาวกัญญารัตน์ ครุฑวิสัย</v>
          </cell>
          <cell r="D23" t="str">
            <v>MISS KANYARAT KHUTWISAI</v>
          </cell>
          <cell r="E23" t="str">
            <v>Female</v>
          </cell>
          <cell r="F23">
            <v>45019</v>
          </cell>
        </row>
        <row r="24">
          <cell r="B24">
            <v>66029</v>
          </cell>
          <cell r="C24" t="str">
            <v>นายฐานันดร โททำ</v>
          </cell>
          <cell r="D24" t="str">
            <v>MR.THANANDORN THOTHAM</v>
          </cell>
          <cell r="E24" t="str">
            <v>Male</v>
          </cell>
          <cell r="F24">
            <v>45037</v>
          </cell>
        </row>
        <row r="25">
          <cell r="B25">
            <v>66038</v>
          </cell>
          <cell r="C25" t="str">
            <v>นางสาวฝนทิพย์ ทัพอินทร์</v>
          </cell>
          <cell r="D25" t="str">
            <v>MISS PHONTIP TUPIN</v>
          </cell>
          <cell r="E25" t="str">
            <v>Female</v>
          </cell>
          <cell r="F25">
            <v>45092</v>
          </cell>
        </row>
        <row r="26">
          <cell r="B26">
            <v>66043</v>
          </cell>
          <cell r="C26" t="str">
            <v>นางสาวพัชดา เรืองไชย</v>
          </cell>
          <cell r="D26" t="str">
            <v>MISS PHATCHADA RUEANGCHAI</v>
          </cell>
          <cell r="E26" t="str">
            <v>Female</v>
          </cell>
          <cell r="F26">
            <v>45121</v>
          </cell>
        </row>
        <row r="27">
          <cell r="B27">
            <v>66044</v>
          </cell>
          <cell r="C27" t="str">
            <v>นางสาวอรทัย วงษาชัย</v>
          </cell>
          <cell r="D27" t="str">
            <v>MISS ORATAI WONGSACHAI</v>
          </cell>
          <cell r="E27" t="str">
            <v>Female</v>
          </cell>
          <cell r="F27">
            <v>45121</v>
          </cell>
        </row>
        <row r="28">
          <cell r="B28">
            <v>66047</v>
          </cell>
          <cell r="C28" t="str">
            <v>นายประชัน เมืองคง</v>
          </cell>
          <cell r="D28" t="str">
            <v>MR. PRACHAN MUEANGKHONG</v>
          </cell>
          <cell r="E28" t="str">
            <v>Male</v>
          </cell>
          <cell r="F28">
            <v>45121</v>
          </cell>
        </row>
        <row r="29">
          <cell r="B29">
            <v>66051</v>
          </cell>
          <cell r="C29" t="str">
            <v>นางสาวกวิสรา สุภาพันธ์</v>
          </cell>
          <cell r="D29" t="str">
            <v>MISS KAWISARA SUPAPAN</v>
          </cell>
          <cell r="E29" t="str">
            <v>Female</v>
          </cell>
          <cell r="F29">
            <v>45124</v>
          </cell>
        </row>
        <row r="30">
          <cell r="B30">
            <v>66054</v>
          </cell>
          <cell r="C30" t="str">
            <v>นางสาวสุวนันท์ ธงชัย</v>
          </cell>
          <cell r="D30" t="str">
            <v>MISS SUWANAN THONGCHAI</v>
          </cell>
          <cell r="E30" t="str">
            <v>Female</v>
          </cell>
          <cell r="F30">
            <v>45132</v>
          </cell>
        </row>
        <row r="31">
          <cell r="B31">
            <v>66055</v>
          </cell>
          <cell r="C31" t="str">
            <v>นางสาวภารดี ชาภูธร</v>
          </cell>
          <cell r="D31" t="str">
            <v>MISS PARADEE CHAPHUTHON</v>
          </cell>
          <cell r="E31" t="str">
            <v>Female</v>
          </cell>
          <cell r="F31">
            <v>45138</v>
          </cell>
        </row>
        <row r="32">
          <cell r="B32">
            <v>66056</v>
          </cell>
          <cell r="C32" t="str">
            <v>นางสาวสุกัญญา ปัตฐารัมย์</v>
          </cell>
          <cell r="D32" t="str">
            <v>MISS SUKANYA PATTHARAM</v>
          </cell>
          <cell r="E32" t="str">
            <v>Female</v>
          </cell>
          <cell r="F32">
            <v>45138</v>
          </cell>
        </row>
        <row r="33">
          <cell r="B33">
            <v>66059</v>
          </cell>
          <cell r="C33" t="str">
            <v>นางสาวเพ็ญสิริ สิงห์ทอง</v>
          </cell>
          <cell r="D33" t="str">
            <v>MISS PENSIRI  SINGTONG</v>
          </cell>
          <cell r="E33" t="str">
            <v>Female</v>
          </cell>
          <cell r="F33">
            <v>45138</v>
          </cell>
        </row>
        <row r="34">
          <cell r="B34">
            <v>66060</v>
          </cell>
          <cell r="C34" t="str">
            <v>นายผดุงศักดิ์ จันสีลา</v>
          </cell>
          <cell r="D34" t="str">
            <v>MR. PHADUNGSAK CHANSILA</v>
          </cell>
          <cell r="E34" t="str">
            <v>Male</v>
          </cell>
          <cell r="F34">
            <v>45145</v>
          </cell>
        </row>
        <row r="35">
          <cell r="B35">
            <v>66064</v>
          </cell>
          <cell r="C35" t="str">
            <v>นายอรรถพร แสงตะวัน</v>
          </cell>
          <cell r="D35" t="str">
            <v>MR.ADTAPORN SANGTAWAN</v>
          </cell>
          <cell r="E35" t="str">
            <v>Male</v>
          </cell>
          <cell r="F35">
            <v>45146</v>
          </cell>
        </row>
        <row r="36">
          <cell r="B36">
            <v>66076</v>
          </cell>
          <cell r="C36" t="str">
            <v>นางสาวปรางทิพย์ เชื้อจีน</v>
          </cell>
          <cell r="D36" t="str">
            <v>MISS.PRANGTHIP  CHUAJEEN</v>
          </cell>
          <cell r="E36" t="str">
            <v>Female</v>
          </cell>
          <cell r="F36">
            <v>45174</v>
          </cell>
        </row>
        <row r="37">
          <cell r="B37">
            <v>66097</v>
          </cell>
          <cell r="C37" t="str">
            <v>MR.RAHUL SUDHAKARAN</v>
          </cell>
          <cell r="D37" t="str">
            <v>MR.RAHUL SUDHAKARAN</v>
          </cell>
          <cell r="E37" t="str">
            <v>Male</v>
          </cell>
          <cell r="F37">
            <v>45200</v>
          </cell>
        </row>
        <row r="38">
          <cell r="B38">
            <v>66106</v>
          </cell>
          <cell r="C38" t="str">
            <v>นางสาวสุปรียา สนสร้อย</v>
          </cell>
          <cell r="D38" t="str">
            <v>MISS SUPRIYA  SOMSOL</v>
          </cell>
          <cell r="E38" t="str">
            <v>Female</v>
          </cell>
          <cell r="F38">
            <v>45227</v>
          </cell>
        </row>
        <row r="39">
          <cell r="B39">
            <v>66114</v>
          </cell>
          <cell r="C39" t="str">
            <v>นางสาวธนิศรา ภูกองทอง</v>
          </cell>
          <cell r="D39" t="str">
            <v>MS.THANITSARA PHOOKNGTHONG</v>
          </cell>
          <cell r="E39" t="str">
            <v>Female</v>
          </cell>
          <cell r="F39">
            <v>45231</v>
          </cell>
        </row>
        <row r="40">
          <cell r="B40">
            <v>66118</v>
          </cell>
          <cell r="C40" t="str">
            <v>นางสาวศุกร์กัญญา เนาวราช</v>
          </cell>
          <cell r="D40" t="str">
            <v>MISS SUKANYA  NAOWARAT</v>
          </cell>
          <cell r="E40" t="str">
            <v>Female</v>
          </cell>
          <cell r="F40">
            <v>45243</v>
          </cell>
        </row>
        <row r="41">
          <cell r="B41">
            <v>66119</v>
          </cell>
          <cell r="C41" t="str">
            <v>นายจตุพงษ์ วงษาสืบ</v>
          </cell>
          <cell r="D41" t="str">
            <v>MR.JATUPONG  WONGSASUEP</v>
          </cell>
          <cell r="E41" t="str">
            <v>Male</v>
          </cell>
          <cell r="F41">
            <v>45246</v>
          </cell>
        </row>
        <row r="42">
          <cell r="B42">
            <v>67009</v>
          </cell>
          <cell r="C42" t="str">
            <v>นายกิตติวัฒน์ พันหล่อมโส</v>
          </cell>
          <cell r="D42" t="str">
            <v>MR.KITTIWAT PHANLOMSO</v>
          </cell>
          <cell r="E42" t="str">
            <v>Male</v>
          </cell>
          <cell r="F42">
            <v>45303</v>
          </cell>
        </row>
        <row r="43">
          <cell r="B43">
            <v>67012</v>
          </cell>
          <cell r="C43" t="str">
            <v>นายธีรนันท์ ทองโกย</v>
          </cell>
          <cell r="D43" t="str">
            <v>MR.THIRANAN  THONGKOI</v>
          </cell>
          <cell r="E43" t="str">
            <v>Male</v>
          </cell>
          <cell r="F43">
            <v>45303</v>
          </cell>
        </row>
        <row r="44">
          <cell r="B44">
            <v>67019</v>
          </cell>
          <cell r="C44" t="str">
            <v>นายธนกร บุญประเสริฐ</v>
          </cell>
          <cell r="D44" t="str">
            <v>MR.TANAKORN BUNPRASROET</v>
          </cell>
          <cell r="E44" t="str">
            <v>Male</v>
          </cell>
          <cell r="F44">
            <v>45316</v>
          </cell>
        </row>
        <row r="45">
          <cell r="B45">
            <v>67024</v>
          </cell>
          <cell r="C45" t="str">
            <v>นายพัชรพล ลุขำ</v>
          </cell>
          <cell r="D45" t="str">
            <v>MR.PATCHARAPON LUKHAM</v>
          </cell>
          <cell r="E45" t="str">
            <v>Male</v>
          </cell>
          <cell r="F45">
            <v>45317</v>
          </cell>
        </row>
        <row r="46">
          <cell r="B46">
            <v>67025</v>
          </cell>
          <cell r="C46" t="str">
            <v>นายธนกฤต บุญประเสริฐ</v>
          </cell>
          <cell r="D46" t="str">
            <v>MR.TANAKRIT BUNPRASROET</v>
          </cell>
          <cell r="E46" t="str">
            <v>Male</v>
          </cell>
          <cell r="F46">
            <v>45317</v>
          </cell>
        </row>
        <row r="47">
          <cell r="B47">
            <v>67031</v>
          </cell>
          <cell r="C47" t="str">
            <v>นางสาวมินตรา อัคนิจ</v>
          </cell>
          <cell r="D47" t="str">
            <v>MISS MINTRA AKKANIJ</v>
          </cell>
          <cell r="E47" t="str">
            <v>Female</v>
          </cell>
          <cell r="F47">
            <v>45325</v>
          </cell>
        </row>
        <row r="48">
          <cell r="B48">
            <v>67034</v>
          </cell>
          <cell r="C48" t="str">
            <v>นางสาวอวยพร ภูทัด</v>
          </cell>
          <cell r="D48" t="str">
            <v>MRS.OUAIPORN PHOOTAD</v>
          </cell>
          <cell r="E48" t="str">
            <v>Female</v>
          </cell>
          <cell r="F48">
            <v>45327</v>
          </cell>
        </row>
        <row r="49">
          <cell r="B49">
            <v>67039</v>
          </cell>
          <cell r="C49" t="str">
            <v>นางสาวรัชนิกา เอ็นยอด</v>
          </cell>
          <cell r="D49" t="str">
            <v>MISS RACHANIKA ENYOD</v>
          </cell>
          <cell r="E49" t="str">
            <v>Female</v>
          </cell>
          <cell r="F49">
            <v>45327</v>
          </cell>
        </row>
        <row r="50">
          <cell r="B50">
            <v>67046</v>
          </cell>
          <cell r="C50" t="str">
            <v>นายเกียรติศักดิ์ จุปะมะโน</v>
          </cell>
          <cell r="D50" t="str">
            <v>MR.KIADTISAK CHUPAMANO</v>
          </cell>
          <cell r="E50" t="str">
            <v>Male</v>
          </cell>
          <cell r="F50">
            <v>45329</v>
          </cell>
        </row>
        <row r="51">
          <cell r="B51">
            <v>67065</v>
          </cell>
          <cell r="C51" t="str">
            <v>นายอุทิส สายศรี</v>
          </cell>
          <cell r="D51" t="str">
            <v>MR.AUTHIT SAISRI</v>
          </cell>
          <cell r="E51" t="str">
            <v>Male</v>
          </cell>
          <cell r="F51">
            <v>45348</v>
          </cell>
        </row>
        <row r="52">
          <cell r="B52">
            <v>67070</v>
          </cell>
          <cell r="C52" t="str">
            <v>ว่าที่ร้อยตรีทวีวุฒิ คำโพธิ์</v>
          </cell>
          <cell r="D52" t="str">
            <v>MR.TAWEEWUT CAMPHO</v>
          </cell>
          <cell r="E52" t="str">
            <v>Male</v>
          </cell>
          <cell r="F52">
            <v>45362</v>
          </cell>
        </row>
        <row r="53">
          <cell r="B53">
            <v>67071</v>
          </cell>
          <cell r="C53" t="str">
            <v>นางสาวจันทิมา อ้นเกตุ</v>
          </cell>
          <cell r="D53" t="str">
            <v>MISS. JANTIMA ONKET</v>
          </cell>
          <cell r="E53" t="str">
            <v>Female</v>
          </cell>
          <cell r="F53">
            <v>45362</v>
          </cell>
        </row>
        <row r="54">
          <cell r="B54">
            <v>67074</v>
          </cell>
          <cell r="C54" t="str">
            <v>นายพิเชษฐ์ วรรณวงศ์</v>
          </cell>
          <cell r="D54" t="str">
            <v>MR.PICHET WANNAWONG</v>
          </cell>
          <cell r="E54" t="str">
            <v>Male</v>
          </cell>
          <cell r="F54">
            <v>45369</v>
          </cell>
        </row>
        <row r="55">
          <cell r="B55">
            <v>67083</v>
          </cell>
          <cell r="C55" t="str">
            <v>นางสาวอมรพรรณ สวดสม</v>
          </cell>
          <cell r="D55" t="str">
            <v>MISS AMORNPAN SUADSOM</v>
          </cell>
          <cell r="E55" t="str">
            <v>Female</v>
          </cell>
          <cell r="F55">
            <v>45411</v>
          </cell>
        </row>
        <row r="56">
          <cell r="B56">
            <v>67084</v>
          </cell>
          <cell r="C56" t="str">
            <v>นายปรัชวัฒน์ สอสุทำ</v>
          </cell>
          <cell r="D56" t="str">
            <v>MR.PATCHAWAT SOSUTHAM</v>
          </cell>
          <cell r="E56" t="str">
            <v>Male</v>
          </cell>
          <cell r="F56">
            <v>45411</v>
          </cell>
        </row>
        <row r="57">
          <cell r="B57">
            <v>67087</v>
          </cell>
          <cell r="C57" t="str">
            <v>นางสาวอรจิรา กมล</v>
          </cell>
          <cell r="D57" t="str">
            <v>MISS ONCHIRA KAMON</v>
          </cell>
          <cell r="E57" t="str">
            <v>Female</v>
          </cell>
          <cell r="F57">
            <v>45418</v>
          </cell>
        </row>
        <row r="58">
          <cell r="B58">
            <v>67093</v>
          </cell>
          <cell r="C58" t="str">
            <v>นางสาวกัลยา แซ่ม้า</v>
          </cell>
          <cell r="D58" t="str">
            <v>MISS KANLAYA  SEAMA</v>
          </cell>
          <cell r="E58" t="str">
            <v>Female</v>
          </cell>
          <cell r="F58">
            <v>45426</v>
          </cell>
        </row>
        <row r="59">
          <cell r="B59">
            <v>67094</v>
          </cell>
          <cell r="C59" t="str">
            <v>นางสาวอรุณธิดา ศรีชมภู</v>
          </cell>
          <cell r="D59" t="str">
            <v>MISS ARUNTIDI  SRICHOMPOO</v>
          </cell>
          <cell r="E59" t="str">
            <v>Female</v>
          </cell>
          <cell r="F59">
            <v>45426</v>
          </cell>
        </row>
        <row r="60">
          <cell r="B60">
            <v>67096</v>
          </cell>
          <cell r="C60" t="str">
            <v>นางสาวดวงกมล นันทะกุล</v>
          </cell>
          <cell r="D60" t="str">
            <v>MISS DUANGKAMON NANTHAKUN</v>
          </cell>
          <cell r="E60" t="str">
            <v>Female</v>
          </cell>
          <cell r="F60">
            <v>45426</v>
          </cell>
        </row>
        <row r="61">
          <cell r="B61">
            <v>67101</v>
          </cell>
          <cell r="C61" t="str">
            <v>นางสาวขวัญหทัย ช่วยศิริ</v>
          </cell>
          <cell r="D61" t="str">
            <v>MISS KWANHATAI  CHUASIRI</v>
          </cell>
          <cell r="E61" t="str">
            <v>Female</v>
          </cell>
          <cell r="F61">
            <v>45426</v>
          </cell>
        </row>
        <row r="62">
          <cell r="B62">
            <v>67104</v>
          </cell>
          <cell r="C62" t="str">
            <v>นายบุพกร ดวงจันทร์</v>
          </cell>
          <cell r="D62" t="str">
            <v>MR.BUPHAKORN  DUANGCHAN</v>
          </cell>
          <cell r="E62" t="str">
            <v>Male</v>
          </cell>
          <cell r="F62">
            <v>45427</v>
          </cell>
        </row>
        <row r="63">
          <cell r="B63">
            <v>67106</v>
          </cell>
          <cell r="C63" t="str">
            <v>นายจักรกฤษ แก้วกาเหรียญ</v>
          </cell>
          <cell r="D63" t="str">
            <v>MR.CHAKRK  KAEOKARIAY</v>
          </cell>
          <cell r="E63" t="str">
            <v>Male</v>
          </cell>
          <cell r="F63">
            <v>45427</v>
          </cell>
        </row>
        <row r="64">
          <cell r="B64">
            <v>67108</v>
          </cell>
          <cell r="C64" t="str">
            <v>นางสาวสุดารัตน์ จะยอ</v>
          </cell>
          <cell r="D64" t="str">
            <v>MISS SUDARAT  JAYOR</v>
          </cell>
          <cell r="E64" t="str">
            <v>Female</v>
          </cell>
          <cell r="F64">
            <v>45427</v>
          </cell>
        </row>
        <row r="65">
          <cell r="B65">
            <v>67111</v>
          </cell>
          <cell r="C65" t="str">
            <v>นายชนาธิป พิมพ์แสง</v>
          </cell>
          <cell r="D65" t="str">
            <v>MR.CHANATHIP  PIMSANG</v>
          </cell>
          <cell r="E65" t="str">
            <v>Male</v>
          </cell>
          <cell r="F65">
            <v>45428</v>
          </cell>
        </row>
        <row r="66">
          <cell r="B66">
            <v>67113</v>
          </cell>
          <cell r="C66" t="str">
            <v>นางสาวศศิประภา พันธ์มหา</v>
          </cell>
          <cell r="D66" t="str">
            <v>MISS SIRIPRAPHA  PHANMAHA</v>
          </cell>
          <cell r="E66" t="str">
            <v>Female</v>
          </cell>
          <cell r="F66">
            <v>45432</v>
          </cell>
        </row>
        <row r="67">
          <cell r="B67">
            <v>67117</v>
          </cell>
          <cell r="C67" t="str">
            <v>นายธนวัฒน์ นาเย</v>
          </cell>
          <cell r="D67" t="str">
            <v>MR.THANAWAT  NAYE</v>
          </cell>
          <cell r="E67" t="str">
            <v>Male</v>
          </cell>
          <cell r="F67">
            <v>45432</v>
          </cell>
        </row>
        <row r="68">
          <cell r="B68">
            <v>67118</v>
          </cell>
          <cell r="C68" t="str">
            <v>นางสาวขัตติยา พวงลอย</v>
          </cell>
          <cell r="D68" t="str">
            <v>MISS KHATTIYA  PHUANGLOY</v>
          </cell>
          <cell r="E68" t="str">
            <v>Female</v>
          </cell>
          <cell r="F68">
            <v>45433</v>
          </cell>
        </row>
        <row r="69">
          <cell r="B69">
            <v>67124</v>
          </cell>
          <cell r="C69" t="str">
            <v>นายสาธิต จรดเมฆ</v>
          </cell>
          <cell r="D69" t="str">
            <v>MR.SATIT  JARODMEK</v>
          </cell>
          <cell r="E69" t="str">
            <v>Male</v>
          </cell>
          <cell r="F69">
            <v>45441</v>
          </cell>
        </row>
        <row r="70">
          <cell r="B70">
            <v>67126</v>
          </cell>
          <cell r="C70" t="str">
            <v>นายวรรณลพ  สีสงัด</v>
          </cell>
          <cell r="D70" t="str">
            <v>MR.WANLOP  SEESANGAT</v>
          </cell>
          <cell r="E70" t="str">
            <v>Male</v>
          </cell>
          <cell r="F70">
            <v>45441</v>
          </cell>
        </row>
        <row r="71">
          <cell r="B71">
            <v>67130</v>
          </cell>
          <cell r="C71" t="str">
            <v>นางสาวเกษศิรินทร์ บุตรชน</v>
          </cell>
          <cell r="D71" t="str">
            <v>MISS KERSIRIN  BUTCHON</v>
          </cell>
          <cell r="E71" t="str">
            <v>Female</v>
          </cell>
          <cell r="F71">
            <v>45460</v>
          </cell>
        </row>
        <row r="72">
          <cell r="B72">
            <v>67134</v>
          </cell>
          <cell r="C72" t="str">
            <v>นายทัพพสาร เม้าชุมแสง</v>
          </cell>
          <cell r="D72" t="str">
            <v>MR.TAPPASAR MAOCHUMSAENG</v>
          </cell>
          <cell r="E72" t="str">
            <v>Male</v>
          </cell>
          <cell r="F72">
            <v>45477</v>
          </cell>
        </row>
        <row r="73">
          <cell r="B73">
            <v>67138</v>
          </cell>
          <cell r="C73" t="str">
            <v>นายนที มหายศนันท์</v>
          </cell>
          <cell r="D73" t="str">
            <v>MR.NATEE MAHAYOSNAN</v>
          </cell>
          <cell r="E73" t="str">
            <v>Male</v>
          </cell>
          <cell r="F73">
            <v>45495</v>
          </cell>
        </row>
        <row r="74">
          <cell r="B74">
            <v>67139</v>
          </cell>
          <cell r="C74" t="str">
            <v>นายรัฐกร หมื่นสา</v>
          </cell>
          <cell r="D74" t="str">
            <v>MR.RATTHAKON MUENSA</v>
          </cell>
          <cell r="E74" t="str">
            <v>Male</v>
          </cell>
          <cell r="F74">
            <v>45495</v>
          </cell>
        </row>
        <row r="75">
          <cell r="B75">
            <v>67143</v>
          </cell>
          <cell r="C75" t="str">
            <v>นายวรรณกร ทองดีมีศรี</v>
          </cell>
          <cell r="D75" t="str">
            <v>MR.WANNAKORN TONGDEEMEESRI</v>
          </cell>
          <cell r="E75" t="str">
            <v>Male</v>
          </cell>
          <cell r="F75">
            <v>45509</v>
          </cell>
        </row>
        <row r="76">
          <cell r="B76">
            <v>67148</v>
          </cell>
          <cell r="C76" t="str">
            <v>นางสาวนิตยา แซ่กือ</v>
          </cell>
          <cell r="D76" t="str">
            <v>MISS NITAYA SAEKUE</v>
          </cell>
          <cell r="E76" t="str">
            <v>Female</v>
          </cell>
          <cell r="F76">
            <v>45525</v>
          </cell>
        </row>
        <row r="77">
          <cell r="B77">
            <v>67150</v>
          </cell>
          <cell r="C77" t="str">
            <v>นายธรรมนูญ ขุนทอง</v>
          </cell>
          <cell r="D77" t="str">
            <v>MR.THAMMANOON KHUNTHONG</v>
          </cell>
          <cell r="E77" t="str">
            <v>Male</v>
          </cell>
          <cell r="F77">
            <v>45556</v>
          </cell>
        </row>
        <row r="78">
          <cell r="B78">
            <v>67151</v>
          </cell>
          <cell r="C78" t="str">
            <v>นายเสกสรร อินสอน</v>
          </cell>
          <cell r="D78" t="str">
            <v>MR. SEKSAN INSORN</v>
          </cell>
          <cell r="E78" t="str">
            <v>Male</v>
          </cell>
          <cell r="F78">
            <v>45556</v>
          </cell>
        </row>
        <row r="79">
          <cell r="B79">
            <v>67153</v>
          </cell>
          <cell r="C79" t="str">
            <v>นายวรวิทย์ คำลือชัย</v>
          </cell>
          <cell r="D79" t="str">
            <v>MR.WORAWIT KUMLEUCHAI</v>
          </cell>
          <cell r="E79" t="str">
            <v>Male</v>
          </cell>
          <cell r="F79">
            <v>45566</v>
          </cell>
        </row>
        <row r="80">
          <cell r="B80">
            <v>67156</v>
          </cell>
          <cell r="C80" t="str">
            <v>นายอภิวัฒน์ สุทธสิงห์</v>
          </cell>
          <cell r="D80" t="str">
            <v>MR.APHIWAT SUTTASING</v>
          </cell>
          <cell r="E80" t="str">
            <v>Male</v>
          </cell>
          <cell r="F80">
            <v>45582</v>
          </cell>
        </row>
        <row r="81">
          <cell r="B81">
            <v>67160</v>
          </cell>
          <cell r="C81" t="str">
            <v>นายวรรณธนะ  ผูกฟัก</v>
          </cell>
          <cell r="D81" t="str">
            <v>MR.WANTANA PHOOKFAK</v>
          </cell>
          <cell r="E81" t="str">
            <v>Male</v>
          </cell>
          <cell r="F81">
            <v>45632</v>
          </cell>
        </row>
        <row r="82">
          <cell r="B82">
            <v>67161</v>
          </cell>
          <cell r="C82" t="str">
            <v>นางสาวดวงนภา สุวรรณภักดี</v>
          </cell>
          <cell r="D82" t="str">
            <v>MISS DUANGNAPA SUWANNAPAKDEE</v>
          </cell>
          <cell r="E82" t="str">
            <v>Female</v>
          </cell>
          <cell r="F82">
            <v>45642</v>
          </cell>
        </row>
        <row r="83">
          <cell r="B83">
            <v>68001</v>
          </cell>
          <cell r="C83" t="str">
            <v>นายณัฐภัทร  นามสุโพธิ์</v>
          </cell>
          <cell r="D83" t="str">
            <v>MR.NADTAPAT  NAMSUPO</v>
          </cell>
          <cell r="E83" t="str">
            <v>Male</v>
          </cell>
          <cell r="F83">
            <v>45665</v>
          </cell>
        </row>
        <row r="84">
          <cell r="B84">
            <v>68004</v>
          </cell>
          <cell r="C84" t="str">
            <v>นางสาวกนกวรรณ  ศักเหลา</v>
          </cell>
          <cell r="D84" t="str">
            <v>MISS.KANOKWAN  SAKLAO</v>
          </cell>
          <cell r="E84" t="str">
            <v>Female</v>
          </cell>
          <cell r="F84">
            <v>45670</v>
          </cell>
        </row>
        <row r="85">
          <cell r="B85">
            <v>68005</v>
          </cell>
          <cell r="C85" t="str">
            <v>นางสาวธิดา  แซ่กือ</v>
          </cell>
          <cell r="D85" t="str">
            <v>MISS.THIDA  SEAKEU</v>
          </cell>
          <cell r="E85" t="str">
            <v>Female</v>
          </cell>
          <cell r="F85">
            <v>45670</v>
          </cell>
        </row>
        <row r="86">
          <cell r="B86">
            <v>68017</v>
          </cell>
          <cell r="C86" t="str">
            <v>นายสิริคุปย์ แคว้นไธวง</v>
          </cell>
          <cell r="D86" t="str">
            <v>MR. SIRIKHUP KHAEONTHAISONG</v>
          </cell>
          <cell r="E86" t="str">
            <v>Male</v>
          </cell>
          <cell r="F86">
            <v>45717</v>
          </cell>
        </row>
        <row r="87">
          <cell r="B87">
            <v>68018</v>
          </cell>
          <cell r="C87" t="str">
            <v>นางสาวทัศนีย์  ม่อมมิตร</v>
          </cell>
          <cell r="D87" t="str">
            <v>MISS.TASSANEE  MOMMIT</v>
          </cell>
          <cell r="E87" t="str">
            <v>Female</v>
          </cell>
          <cell r="F87">
            <v>45721</v>
          </cell>
        </row>
        <row r="88">
          <cell r="B88">
            <v>68019</v>
          </cell>
          <cell r="C88" t="str">
            <v>นางสาวแพรวนภา จิตรเอื้อ</v>
          </cell>
          <cell r="D88" t="str">
            <v>MISS. PRAEWNAPHA  JIT-UE</v>
          </cell>
          <cell r="E88" t="str">
            <v>Female</v>
          </cell>
          <cell r="F88">
            <v>45721</v>
          </cell>
        </row>
        <row r="89">
          <cell r="B89">
            <v>68025</v>
          </cell>
          <cell r="C89" t="str">
            <v>นางสาวกาญจนา แซ่กือ</v>
          </cell>
          <cell r="D89" t="str">
            <v>MISS.KANCHANA SAEKUE</v>
          </cell>
          <cell r="E89" t="str">
            <v>Female</v>
          </cell>
          <cell r="F89">
            <v>45733</v>
          </cell>
        </row>
        <row r="90">
          <cell r="B90">
            <v>68029</v>
          </cell>
          <cell r="C90" t="str">
            <v>นายกฤตเมธ  เสาเวียง</v>
          </cell>
          <cell r="D90" t="str">
            <v>MR.KRITTAMET SAOWIANG</v>
          </cell>
          <cell r="E90" t="str">
            <v>Male</v>
          </cell>
          <cell r="F90">
            <v>45748</v>
          </cell>
        </row>
        <row r="91">
          <cell r="B91">
            <v>68032</v>
          </cell>
          <cell r="C91" t="str">
            <v>นางสาวอรณีย์  หมู่หมื่นศรี</v>
          </cell>
          <cell r="D91" t="str">
            <v>MISS ORRANEE MOOMEUNSEE</v>
          </cell>
          <cell r="E91" t="str">
            <v>Female</v>
          </cell>
          <cell r="F91">
            <v>45779</v>
          </cell>
        </row>
        <row r="92">
          <cell r="B92">
            <v>68034</v>
          </cell>
          <cell r="C92" t="str">
            <v>นายวีระกร  อุดทังไข</v>
          </cell>
          <cell r="D92" t="str">
            <v>MR.WEERAKORN AUTTHANGKHAI</v>
          </cell>
          <cell r="E92" t="str">
            <v>Male</v>
          </cell>
          <cell r="F92">
            <v>45796</v>
          </cell>
        </row>
        <row r="93">
          <cell r="B93">
            <v>68036</v>
          </cell>
          <cell r="C93" t="str">
            <v>นางสาวพันทิวา ไขคำ</v>
          </cell>
          <cell r="D93" t="str">
            <v>MISS.PANTIWA KAIKHAM</v>
          </cell>
          <cell r="E93" t="str">
            <v>Female</v>
          </cell>
          <cell r="F93">
            <v>45798</v>
          </cell>
        </row>
        <row r="94">
          <cell r="B94">
            <v>68037</v>
          </cell>
          <cell r="C94" t="str">
            <v>Dang Jianlin</v>
          </cell>
          <cell r="D94" t="str">
            <v>Dang Jianlin</v>
          </cell>
          <cell r="E94" t="str">
            <v>Male</v>
          </cell>
          <cell r="F94">
            <v>45775</v>
          </cell>
        </row>
        <row r="95">
          <cell r="B95">
            <v>68040</v>
          </cell>
          <cell r="C95" t="str">
            <v>นายเดชบดินทร์ กิจยศชัยปกรณ์</v>
          </cell>
          <cell r="D95" t="str">
            <v>MR.DETBODIN KITYOTCHAIPAKON</v>
          </cell>
          <cell r="E95" t="str">
            <v>Male</v>
          </cell>
          <cell r="F95">
            <v>45853</v>
          </cell>
        </row>
        <row r="96">
          <cell r="B96">
            <v>68042</v>
          </cell>
          <cell r="C96" t="str">
            <v>Song Liangliang</v>
          </cell>
          <cell r="D96" t="str">
            <v>MR.Song Liangliang</v>
          </cell>
          <cell r="E96" t="str">
            <v>Male</v>
          </cell>
          <cell r="F96">
            <v>45827</v>
          </cell>
        </row>
        <row r="97">
          <cell r="B97">
            <v>68043</v>
          </cell>
          <cell r="C97" t="str">
            <v>นายวันชัย ขุมทอง</v>
          </cell>
          <cell r="D97" t="str">
            <v>MR.WANCHAI KHUMTONG</v>
          </cell>
          <cell r="E97" t="str">
            <v>Male</v>
          </cell>
          <cell r="F97">
            <v>45873</v>
          </cell>
        </row>
        <row r="98">
          <cell r="B98">
            <v>68048</v>
          </cell>
          <cell r="C98" t="str">
            <v>นางสาวอรญา ทองยศ</v>
          </cell>
          <cell r="D98" t="str">
            <v>MISS.ORAYA THONGYOT</v>
          </cell>
          <cell r="E98" t="str">
            <v>Female</v>
          </cell>
          <cell r="F98">
            <v>45887</v>
          </cell>
        </row>
        <row r="99">
          <cell r="B99">
            <v>68049</v>
          </cell>
          <cell r="C99" t="str">
            <v>นายนราธิป บุญภูมิ</v>
          </cell>
          <cell r="D99" t="str">
            <v>MR.NARATHIP BUNPUM</v>
          </cell>
          <cell r="E99" t="str">
            <v>Male</v>
          </cell>
          <cell r="F99">
            <v>45890</v>
          </cell>
        </row>
        <row r="100">
          <cell r="B100">
            <v>68050</v>
          </cell>
          <cell r="C100" t="str">
            <v>นายเฉลิมวุฒิ เพ็งประโคน</v>
          </cell>
          <cell r="D100" t="str">
            <v>MRSALOEMWUT PHENGPRAKHON</v>
          </cell>
          <cell r="E100" t="str">
            <v>Male</v>
          </cell>
          <cell r="F100">
            <v>45890</v>
          </cell>
        </row>
        <row r="101">
          <cell r="B101">
            <v>68051</v>
          </cell>
          <cell r="C101" t="str">
            <v>นายสมโภชน์ เหลี่ยมล้ำ</v>
          </cell>
          <cell r="D101" t="str">
            <v>MR.SOMPOCH LIAMLAM</v>
          </cell>
          <cell r="E101" t="str">
            <v>Male</v>
          </cell>
          <cell r="F101">
            <v>45890</v>
          </cell>
        </row>
        <row r="102">
          <cell r="B102">
            <v>68052</v>
          </cell>
          <cell r="C102" t="str">
            <v>นางสาวภัสนันท์ เข้มแข็ง</v>
          </cell>
          <cell r="D102" t="str">
            <v>MS.PASSANAN KHAMKHAENG</v>
          </cell>
          <cell r="E102" t="str">
            <v>Female</v>
          </cell>
          <cell r="F102">
            <v>45901</v>
          </cell>
        </row>
        <row r="103">
          <cell r="B103">
            <v>68055</v>
          </cell>
          <cell r="C103" t="str">
            <v>นายภานุพงศ์ บุญเฮ้า</v>
          </cell>
          <cell r="D103" t="str">
            <v>MR.PHANUPHONG BOONHAO</v>
          </cell>
          <cell r="E103" t="str">
            <v>Male</v>
          </cell>
          <cell r="F103">
            <v>45922</v>
          </cell>
        </row>
        <row r="104">
          <cell r="B104">
            <v>68056</v>
          </cell>
          <cell r="C104" t="str">
            <v>นายสุชาติ พลชาลี</v>
          </cell>
          <cell r="D104" t="str">
            <v>MR.SUCHAT PHONCHALI</v>
          </cell>
          <cell r="E104" t="str">
            <v>Male</v>
          </cell>
          <cell r="F104">
            <v>45922</v>
          </cell>
        </row>
        <row r="105">
          <cell r="B105">
            <v>68057</v>
          </cell>
          <cell r="C105" t="str">
            <v>นายปิยวัช ศรีภิรมย์</v>
          </cell>
          <cell r="D105" t="str">
            <v>MR.PIYAWAT SRIPHIROM</v>
          </cell>
          <cell r="E105" t="str">
            <v>Male</v>
          </cell>
          <cell r="F105">
            <v>45951</v>
          </cell>
        </row>
        <row r="106">
          <cell r="B106">
            <v>68060</v>
          </cell>
          <cell r="C106" t="str">
            <v>นางสาวกันต์วรา  แก้วกันทา</v>
          </cell>
          <cell r="D106" t="str">
            <v>MS.KANWARA KAEWKANTA</v>
          </cell>
          <cell r="E106" t="str">
            <v>Female</v>
          </cell>
          <cell r="F106">
            <v>45964</v>
          </cell>
        </row>
        <row r="107">
          <cell r="B107">
            <v>68061</v>
          </cell>
          <cell r="C107" t="str">
            <v>นางสาวจิตรลดา  พิพัฒนาสุภรณ์</v>
          </cell>
          <cell r="D107" t="str">
            <v>MS.JIDLADA  PHIPHATTHANASUPHON</v>
          </cell>
          <cell r="E107" t="str">
            <v>Female</v>
          </cell>
          <cell r="F107">
            <v>45974</v>
          </cell>
        </row>
        <row r="108">
          <cell r="B108">
            <v>68062</v>
          </cell>
          <cell r="C108" t="str">
            <v>นางสาวยุวดี  อินทรีย์</v>
          </cell>
          <cell r="D108" t="str">
            <v>MISS YUWADEE  INSEE</v>
          </cell>
          <cell r="E108" t="str">
            <v>Female</v>
          </cell>
          <cell r="F108">
            <v>45992</v>
          </cell>
        </row>
        <row r="109">
          <cell r="B109">
            <v>68063</v>
          </cell>
          <cell r="C109" t="str">
            <v>นายพงษ์ศักดิ์  ไชยคุณ</v>
          </cell>
          <cell r="D109" t="str">
            <v>MR.PHONGSAK  CHAIYAKUN</v>
          </cell>
          <cell r="E109" t="str">
            <v>Male</v>
          </cell>
          <cell r="F109">
            <v>45999</v>
          </cell>
        </row>
        <row r="110">
          <cell r="B110">
            <v>68066</v>
          </cell>
          <cell r="C110" t="str">
            <v>นายถิรวุฒิ  กองจาย</v>
          </cell>
          <cell r="D110" t="str">
            <v>MR.THIRAWUD  KONGJAY</v>
          </cell>
          <cell r="E110" t="str">
            <v>Male</v>
          </cell>
          <cell r="F110">
            <v>46008</v>
          </cell>
        </row>
        <row r="111">
          <cell r="B111">
            <v>68067</v>
          </cell>
          <cell r="C111" t="str">
            <v>นายธนิต  ดวงจันทร์</v>
          </cell>
          <cell r="D111" t="str">
            <v>MR.THANIT DUANGJAN</v>
          </cell>
          <cell r="E111" t="str">
            <v>Male</v>
          </cell>
          <cell r="F111">
            <v>46012</v>
          </cell>
        </row>
        <row r="112">
          <cell r="B112">
            <v>68068</v>
          </cell>
          <cell r="C112" t="str">
            <v>นายธนานัต  ดอนลาดลี</v>
          </cell>
          <cell r="D112" t="str">
            <v>MR.TANANAT DONLADLEE</v>
          </cell>
          <cell r="E112" t="str">
            <v>Male</v>
          </cell>
          <cell r="F112">
            <v>46012</v>
          </cell>
        </row>
        <row r="113">
          <cell r="B113">
            <v>69001</v>
          </cell>
          <cell r="C113" t="str">
            <v>นายกิตติศักดิ์  ดอนลาดลี</v>
          </cell>
          <cell r="D113" t="str">
            <v>MR.KITTISAK DONLADLEE</v>
          </cell>
          <cell r="E113" t="str">
            <v>Male</v>
          </cell>
          <cell r="F113">
            <v>46036</v>
          </cell>
        </row>
        <row r="114">
          <cell r="B114">
            <v>69002</v>
          </cell>
          <cell r="C114" t="str">
            <v>นายอภิรักษ์  จันทร์เพ็ญ</v>
          </cell>
          <cell r="D114" t="str">
            <v>MR.APHIRAK CHANPHEN</v>
          </cell>
          <cell r="E114" t="str">
            <v>Male</v>
          </cell>
          <cell r="F114">
            <v>46036</v>
          </cell>
        </row>
        <row r="115">
          <cell r="B115">
            <v>69003</v>
          </cell>
          <cell r="C115" t="str">
            <v>นายสุริยะ  สีหงษ์</v>
          </cell>
          <cell r="D115" t="str">
            <v>MR.SURIYA SEEHONG</v>
          </cell>
          <cell r="E115" t="str">
            <v>Male</v>
          </cell>
          <cell r="F115">
            <v>46036</v>
          </cell>
        </row>
        <row r="116">
          <cell r="B116">
            <v>69005</v>
          </cell>
          <cell r="C116" t="str">
            <v>นายดำรงค์  ปัตพี</v>
          </cell>
          <cell r="D116" t="str">
            <v>MR.DAMRONG PATTAPHI</v>
          </cell>
          <cell r="E116" t="str">
            <v>Male</v>
          </cell>
          <cell r="F116">
            <v>46039</v>
          </cell>
        </row>
        <row r="117">
          <cell r="B117">
            <v>69006</v>
          </cell>
          <cell r="C117" t="str">
            <v>นายอนุชา  แท่นศิลา</v>
          </cell>
          <cell r="D117" t="str">
            <v>MR.ANUCHA TAENSILA</v>
          </cell>
          <cell r="E117" t="str">
            <v>Male</v>
          </cell>
          <cell r="F117">
            <v>46043</v>
          </cell>
        </row>
        <row r="118">
          <cell r="B118">
            <v>69008</v>
          </cell>
          <cell r="C118" t="str">
            <v>นายวชิรวิทย์  ร่องจิต</v>
          </cell>
          <cell r="D118" t="str">
            <v>MR.WACHIRAWIT RONGJIT</v>
          </cell>
          <cell r="E118" t="str">
            <v>Male</v>
          </cell>
          <cell r="F118">
            <v>46048</v>
          </cell>
        </row>
        <row r="119">
          <cell r="B119">
            <v>69011</v>
          </cell>
          <cell r="C119" t="str">
            <v>นายธิราทร  ยศสันเทียะ</v>
          </cell>
          <cell r="D119" t="str">
            <v>MR.THIRATHON YOTSANTHIA</v>
          </cell>
          <cell r="E119" t="str">
            <v>Male</v>
          </cell>
          <cell r="F119">
            <v>46055</v>
          </cell>
        </row>
        <row r="120">
          <cell r="B120">
            <v>69013</v>
          </cell>
          <cell r="C120" t="str">
            <v>นางสาววนิดา วิเชียร</v>
          </cell>
          <cell r="D120" t="str">
            <v>MS.VANIDA WICHIAN</v>
          </cell>
          <cell r="E120" t="str">
            <v>Female</v>
          </cell>
          <cell r="F120">
            <v>46067</v>
          </cell>
        </row>
        <row r="121">
          <cell r="B121">
            <v>69014</v>
          </cell>
          <cell r="C121" t="str">
            <v>นางสาวพรวิไล ภูมิสถาน</v>
          </cell>
          <cell r="D121" t="str">
            <v>MS.PORNWILAI PHUMSATHAN</v>
          </cell>
          <cell r="E121" t="str">
            <v>Female</v>
          </cell>
          <cell r="F121">
            <v>46069</v>
          </cell>
        </row>
        <row r="122">
          <cell r="B122">
            <v>69015</v>
          </cell>
          <cell r="C122" t="str">
            <v>นายรณกฤต กาทอง</v>
          </cell>
          <cell r="D122" t="str">
            <v>MR.RONNAKIT KATHONG</v>
          </cell>
          <cell r="E122" t="str">
            <v>Female</v>
          </cell>
          <cell r="F122">
            <v>46069</v>
          </cell>
        </row>
        <row r="123">
          <cell r="B123">
            <v>69016</v>
          </cell>
          <cell r="C123" t="str">
            <v>นายสุริยา  ตาเปี้ยสืบ</v>
          </cell>
          <cell r="D123" t="str">
            <v>MR.SURIYA TAPEASUEB</v>
          </cell>
          <cell r="E123" t="str">
            <v>Female</v>
          </cell>
          <cell r="F123">
            <v>46070</v>
          </cell>
        </row>
        <row r="124">
          <cell r="B124">
            <v>69017</v>
          </cell>
          <cell r="C124" t="str">
            <v>นางสาวสิราวรรณ ประเสริฐสังข์</v>
          </cell>
          <cell r="D124" t="str">
            <v>MS.SIRAWAN PRASROETHSANG</v>
          </cell>
          <cell r="E124" t="str">
            <v>Female</v>
          </cell>
          <cell r="F124">
            <v>46074</v>
          </cell>
        </row>
        <row r="125">
          <cell r="B125">
            <v>69018</v>
          </cell>
          <cell r="C125" t="str">
            <v>นางสาวเจนจิรา  เนหล้า</v>
          </cell>
          <cell r="D125" t="str">
            <v>MS.CHENCHIRA NELA</v>
          </cell>
          <cell r="E125" t="str">
            <v>Female</v>
          </cell>
          <cell r="F125">
            <v>46074</v>
          </cell>
        </row>
        <row r="126">
          <cell r="B126">
            <v>69019</v>
          </cell>
          <cell r="C126" t="str">
            <v>นายอิทธิชัย  มูลสาระ</v>
          </cell>
          <cell r="D126" t="str">
            <v>MR.AITTHICHAI MOOLSARA</v>
          </cell>
          <cell r="E126" t="str">
            <v>Male</v>
          </cell>
          <cell r="F126">
            <v>46074</v>
          </cell>
        </row>
        <row r="127">
          <cell r="B127">
            <v>69020</v>
          </cell>
          <cell r="C127" t="str">
            <v>นายภูมิรพี  ดุริยดำรงกุล</v>
          </cell>
          <cell r="D127" t="str">
            <v>MR.POOMRAPEE DURIYADUMRONGKUL</v>
          </cell>
          <cell r="E127" t="str">
            <v>Male</v>
          </cell>
          <cell r="F127">
            <v>46074</v>
          </cell>
        </row>
        <row r="128">
          <cell r="B128">
            <v>69021</v>
          </cell>
          <cell r="C128" t="str">
            <v>นายจักรินทร์  คะสาร</v>
          </cell>
          <cell r="D128" t="str">
            <v>MR.JAKKARIN KASAN</v>
          </cell>
          <cell r="E128" t="str">
            <v>Male</v>
          </cell>
          <cell r="F128">
            <v>46074</v>
          </cell>
        </row>
        <row r="129">
          <cell r="B129">
            <v>69022</v>
          </cell>
          <cell r="C129" t="str">
            <v>นายนัฐวุฒิ  เสย์</v>
          </cell>
          <cell r="D129" t="str">
            <v>MR.NATTHAWUT SAY</v>
          </cell>
          <cell r="E129" t="str">
            <v>Male</v>
          </cell>
          <cell r="F129">
            <v>46074</v>
          </cell>
        </row>
        <row r="130">
          <cell r="B130">
            <v>69023</v>
          </cell>
          <cell r="C130" t="str">
            <v>นายพงษ์ศักดิ์  โนไธสง</v>
          </cell>
          <cell r="D130" t="str">
            <v>MR.PONGSAK NOTHAISONG</v>
          </cell>
          <cell r="E130" t="str">
            <v>Male</v>
          </cell>
          <cell r="F130">
            <v>46074</v>
          </cell>
        </row>
        <row r="131">
          <cell r="B131">
            <v>69025</v>
          </cell>
          <cell r="C131" t="str">
            <v>นางสาววิภาวี  พันธุมาตร์</v>
          </cell>
          <cell r="D131" t="str">
            <v>MS.WIPHAWI PHANTHAMAT</v>
          </cell>
          <cell r="E131" t="str">
            <v>Female</v>
          </cell>
          <cell r="F131">
            <v>46077</v>
          </cell>
        </row>
        <row r="132">
          <cell r="B132">
            <v>69026</v>
          </cell>
          <cell r="C132" t="str">
            <v>นายสุวัฒน์  นามวงค์ทัศน์</v>
          </cell>
          <cell r="D132" t="str">
            <v>MR.SUWAT NAMVONGTHAT</v>
          </cell>
          <cell r="E132" t="str">
            <v>Male</v>
          </cell>
          <cell r="F132">
            <v>46081</v>
          </cell>
        </row>
        <row r="133">
          <cell r="B133">
            <v>69028</v>
          </cell>
          <cell r="C133" t="str">
            <v>นายอนุชิต สมรัตน์</v>
          </cell>
          <cell r="D133" t="str">
            <v>MR.ANUCHIT SOMRAT</v>
          </cell>
          <cell r="E133" t="str">
            <v>Male</v>
          </cell>
          <cell r="F133">
            <v>46083</v>
          </cell>
        </row>
        <row r="134">
          <cell r="B134">
            <v>69029</v>
          </cell>
          <cell r="C134" t="str">
            <v>นายณัฐวุฒิ ลาวรรณ</v>
          </cell>
          <cell r="D134" t="str">
            <v>MR.NATTHAWUT LAWAN</v>
          </cell>
          <cell r="E134" t="str">
            <v>Male</v>
          </cell>
          <cell r="F134">
            <v>46083</v>
          </cell>
        </row>
        <row r="135">
          <cell r="B135">
            <v>69030</v>
          </cell>
          <cell r="C135" t="str">
            <v>นายอนันทการณ์ กงชุย</v>
          </cell>
          <cell r="D135" t="str">
            <v>MR.ANANTAKAN KONGSUY</v>
          </cell>
          <cell r="E135" t="str">
            <v>Male</v>
          </cell>
          <cell r="F135">
            <v>46085</v>
          </cell>
        </row>
        <row r="136">
          <cell r="B136">
            <v>69031</v>
          </cell>
          <cell r="C136" t="str">
            <v>นายภรัณยู  สอนเสนา</v>
          </cell>
          <cell r="D136" t="str">
            <v>MR.PARANYU SONSENA</v>
          </cell>
          <cell r="E136" t="str">
            <v>Male</v>
          </cell>
          <cell r="F136">
            <v>46085</v>
          </cell>
        </row>
        <row r="137">
          <cell r="B137">
            <v>69032</v>
          </cell>
          <cell r="C137" t="str">
            <v>นายธนพล การกระสัง</v>
          </cell>
          <cell r="D137" t="str">
            <v>MR.THANAPOL KANKRASANG</v>
          </cell>
          <cell r="E137" t="str">
            <v>Male</v>
          </cell>
          <cell r="F137">
            <v>46086</v>
          </cell>
        </row>
        <row r="138">
          <cell r="B138">
            <v>69033</v>
          </cell>
          <cell r="C138" t="str">
            <v>นายอำนวยชัย แหวนเงิน</v>
          </cell>
          <cell r="D138" t="str">
            <v>MR.AMNUAICHAI WAENGOEN</v>
          </cell>
          <cell r="E138" t="str">
            <v>Male</v>
          </cell>
          <cell r="F138">
            <v>46087</v>
          </cell>
        </row>
        <row r="139">
          <cell r="B139">
            <v>69034</v>
          </cell>
          <cell r="C139" t="str">
            <v>นายอดิศักดิ์ สีแสง</v>
          </cell>
          <cell r="D139" t="str">
            <v>MR.ADISAK SEESAENG</v>
          </cell>
          <cell r="E139" t="str">
            <v>Male</v>
          </cell>
          <cell r="F139">
            <v>46090</v>
          </cell>
        </row>
        <row r="140">
          <cell r="B140">
            <v>69035</v>
          </cell>
          <cell r="C140" t="str">
            <v>นายอนุสรณ์ จิตณรงค์</v>
          </cell>
          <cell r="D140" t="str">
            <v>MR.ANUSORN JITNARONG</v>
          </cell>
          <cell r="E140" t="str">
            <v>Male</v>
          </cell>
          <cell r="F140">
            <v>46097</v>
          </cell>
        </row>
        <row r="141">
          <cell r="B141">
            <v>69036</v>
          </cell>
          <cell r="C141" t="str">
            <v>นางสาวสุภาพร วิเสรัมย์</v>
          </cell>
          <cell r="D141" t="str">
            <v>MS.SUPHAPHON VISARAM</v>
          </cell>
          <cell r="E141" t="str">
            <v>Female</v>
          </cell>
          <cell r="F141">
            <v>46097</v>
          </cell>
        </row>
        <row r="142">
          <cell r="B142">
            <v>69037</v>
          </cell>
          <cell r="C142" t="str">
            <v>นายสุรชัย คงสัตย์</v>
          </cell>
          <cell r="D142" t="str">
            <v>MR.SURACHAI KONGSAT</v>
          </cell>
          <cell r="E142" t="str">
            <v>Male</v>
          </cell>
          <cell r="F142">
            <v>46097</v>
          </cell>
        </row>
        <row r="143">
          <cell r="B143">
            <v>69038</v>
          </cell>
          <cell r="C143" t="str">
            <v>MR.SU,PENGFEI</v>
          </cell>
          <cell r="D143" t="str">
            <v>MR.SU,PENGFEI</v>
          </cell>
          <cell r="E143" t="str">
            <v>Male</v>
          </cell>
          <cell r="F143">
            <v>46087</v>
          </cell>
        </row>
        <row r="144">
          <cell r="B144">
            <v>69039</v>
          </cell>
          <cell r="C144" t="str">
            <v>MR.JIANG,AIDONG</v>
          </cell>
          <cell r="D144" t="str">
            <v>MR.JIANG,AIDONG</v>
          </cell>
          <cell r="E144" t="str">
            <v>Male</v>
          </cell>
          <cell r="F144">
            <v>46087</v>
          </cell>
        </row>
        <row r="145">
          <cell r="B145">
            <v>69040</v>
          </cell>
          <cell r="C145" t="str">
            <v>MS.ZHAO,SHOUZHU</v>
          </cell>
          <cell r="D145" t="str">
            <v>MS.ZHAO,SHOUZHU</v>
          </cell>
          <cell r="E145" t="str">
            <v>Female</v>
          </cell>
          <cell r="F145">
            <v>46087</v>
          </cell>
        </row>
        <row r="146">
          <cell r="B146">
            <v>69041</v>
          </cell>
          <cell r="C146" t="str">
            <v>MS.WAN,LIYU</v>
          </cell>
          <cell r="D146" t="str">
            <v>MS.WAN,LIYU</v>
          </cell>
          <cell r="E146" t="str">
            <v>Female</v>
          </cell>
          <cell r="F146">
            <v>46087</v>
          </cell>
        </row>
        <row r="147">
          <cell r="B147">
            <v>69042</v>
          </cell>
          <cell r="C147" t="str">
            <v>นางสาวมลิวัลย์ มาโสภา</v>
          </cell>
          <cell r="D147" t="str">
            <v>MS.MALIWAN MASOPA</v>
          </cell>
          <cell r="E147" t="str">
            <v>Female</v>
          </cell>
          <cell r="F147">
            <v>46102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去施耐德培训"/>
      <sheetName val="人员稳定率"/>
      <sheetName val="组织结构"/>
      <sheetName val="有图片มีรูปถ่าย"/>
      <sheetName val="中文"/>
      <sheetName val="รูปพนักงาน  照片  "/>
      <sheetName val="ประวัติพนักงาน "/>
      <sheetName val="DATA"/>
      <sheetName val="临时员工"/>
      <sheetName val="ลาออก-辞职"/>
      <sheetName val="เซ็นสัญญา"/>
      <sheetName val="รายชื่อตรวจประวัติ"/>
      <sheetName val="ลาออก"/>
      <sheetName val="ลาออก (2)"/>
      <sheetName val="เปิดบัญชี"/>
      <sheetName val="Sheet4"/>
      <sheetName val="Sheet3"/>
      <sheetName val="แจ้งเข้าประกันสังคม"/>
      <sheetName val="บันทึกใบเตือน"/>
      <sheetName val="เซ็นสัญญา (2)"/>
      <sheetName val="เซ็นใบผ่าโปร"/>
      <sheetName val="Sheet1"/>
      <sheetName val="Sheet2"/>
      <sheetName val="พนักงาน อายุงานครบ1ปี"/>
      <sheetName val="DATA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B2" t="str">
            <v>รหัสพนักงาน
工号</v>
          </cell>
          <cell r="C2" t="str">
            <v>ชื่อ-สกุล (ภาษาไทย)
泰文名字</v>
          </cell>
          <cell r="D2" t="str">
            <v>ชื่อ-สกุล (ภาษาอังกฤษ)
英文名字</v>
          </cell>
          <cell r="E2" t="str">
            <v>เพศ</v>
          </cell>
          <cell r="F2" t="str">
            <v>เริ่มทำงาน
入职日期</v>
          </cell>
          <cell r="G2" t="str">
            <v>ประเมินทดลองงาน60วัน</v>
          </cell>
          <cell r="H2" t="str">
            <v>ประเมินทดลองงาน90วัน</v>
          </cell>
          <cell r="I2" t="str">
            <v>ผ่านทดลองงาน</v>
          </cell>
          <cell r="J2" t="str">
            <v>อายุงาน
工龄</v>
          </cell>
          <cell r="K2" t="str">
            <v>แผนก 部門</v>
          </cell>
          <cell r="L2" t="str">
            <v>ตำแหน่ง</v>
          </cell>
          <cell r="M2" t="str">
            <v>Department</v>
          </cell>
          <cell r="N2" t="str">
            <v>วันเดือนปีเกิด
出生日期</v>
          </cell>
          <cell r="O2" t="str">
            <v>อายุ (ปี)
年龄</v>
          </cell>
          <cell r="P2" t="str">
            <v>เบอร์โทร
电话号码</v>
          </cell>
          <cell r="Q2" t="str">
            <v>รหัสบัตรประชาชน
身份证号/护照号</v>
          </cell>
          <cell r="R2" t="str">
            <v>สัญชาติ</v>
          </cell>
          <cell r="S2" t="str">
            <v>国籍</v>
          </cell>
          <cell r="T2" t="str">
            <v>การศึกษา</v>
          </cell>
          <cell r="U2" t="str">
            <v>ที่อยู่ตามทะเบียนบ้าน</v>
          </cell>
          <cell r="V2" t="str">
            <v>ที่อยู่ปัจจุบัน</v>
          </cell>
          <cell r="W2" t="str">
            <v>ประเภท</v>
          </cell>
          <cell r="X2" t="str">
            <v>สถานะ</v>
          </cell>
          <cell r="Y2" t="str">
            <v>Remark</v>
          </cell>
        </row>
        <row r="3">
          <cell r="B3">
            <v>61002</v>
          </cell>
          <cell r="C3" t="str">
            <v>นายวีรพล แสนสิม</v>
          </cell>
          <cell r="D3" t="str">
            <v>MR.WEERAPHON SANSIM</v>
          </cell>
          <cell r="E3" t="str">
            <v>Male</v>
          </cell>
          <cell r="F3">
            <v>43222</v>
          </cell>
          <cell r="G3">
            <v>43282</v>
          </cell>
          <cell r="H3">
            <v>43312</v>
          </cell>
          <cell r="I3">
            <v>43341</v>
          </cell>
          <cell r="J3" t="str">
            <v>8 ปี 0 เดือน 23 วัน</v>
          </cell>
          <cell r="K3" t="str">
            <v>ซ่อมบำรุง</v>
          </cell>
          <cell r="L3" t="str">
            <v>Production Manager</v>
          </cell>
          <cell r="M3" t="str">
            <v>Production</v>
          </cell>
          <cell r="N3">
            <v>34931</v>
          </cell>
          <cell r="O3">
            <v>30</v>
          </cell>
          <cell r="P3" t="str">
            <v>092-491-0797</v>
          </cell>
          <cell r="Q3" t="str">
            <v>1-3501-00361-72-8</v>
          </cell>
          <cell r="R3" t="str">
            <v>ไทย</v>
          </cell>
          <cell r="S3" t="str">
            <v>泰国</v>
          </cell>
          <cell r="T3" t="str">
            <v>ปวส.</v>
          </cell>
          <cell r="U3" t="str">
            <v>70 หมู่ที่ 1 ตำบลแคนน้อย อำเภอคำเขื่อนแก้ว จังหวัดยโสธร</v>
          </cell>
          <cell r="V3" t="str">
            <v>159หมู่ที่ 6 ตำบลมาบยางพร อำเภอปลวกแดง จังหวัดระยอง</v>
          </cell>
          <cell r="W3" t="str">
            <v>รายเดือน</v>
          </cell>
          <cell r="X3" t="str">
            <v>在职</v>
          </cell>
        </row>
        <row r="4">
          <cell r="B4">
            <v>61011</v>
          </cell>
          <cell r="C4" t="str">
            <v>นายสามารถ กัญจนพานิช</v>
          </cell>
          <cell r="D4" t="str">
            <v>MR. SAMART  KANJANAPHANICH</v>
          </cell>
          <cell r="E4" t="str">
            <v>Male</v>
          </cell>
          <cell r="F4">
            <v>43395</v>
          </cell>
          <cell r="G4">
            <v>43455</v>
          </cell>
          <cell r="H4">
            <v>43485</v>
          </cell>
          <cell r="I4">
            <v>43514</v>
          </cell>
          <cell r="J4" t="str">
            <v>7 ปี 7 เดือน 3 วัน</v>
          </cell>
          <cell r="K4" t="str">
            <v>บริหารและวางแผนการผลิต</v>
          </cell>
          <cell r="L4" t="str">
            <v>Business Manager</v>
          </cell>
          <cell r="M4" t="str">
            <v>Planning&amp;Purchase</v>
          </cell>
          <cell r="N4">
            <v>35351</v>
          </cell>
          <cell r="O4">
            <v>29</v>
          </cell>
          <cell r="P4" t="str">
            <v>093-050-4140</v>
          </cell>
          <cell r="Q4" t="str">
            <v>5-5715-00059-66-4</v>
          </cell>
          <cell r="R4" t="str">
            <v>ไทย</v>
          </cell>
          <cell r="S4" t="str">
            <v>泰国</v>
          </cell>
          <cell r="T4" t="str">
            <v>ปวส.</v>
          </cell>
          <cell r="U4" t="str">
            <v>353 หมู่ที่16 ตำบลแม่สลองใน อำเภอแม่ฟ้าหลวง จังหวัดเชียงราย</v>
          </cell>
          <cell r="V4" t="str">
            <v>379/187 หมู่ที่1 ต.มะขามคู่ อ.นิคมพัฒนา จ.ระยอง 21180</v>
          </cell>
          <cell r="W4" t="str">
            <v>รายเดือน</v>
          </cell>
          <cell r="X4" t="str">
            <v>在职</v>
          </cell>
        </row>
        <row r="5">
          <cell r="B5">
            <v>62011</v>
          </cell>
          <cell r="C5" t="str">
            <v>นางสาวปวีณา นิลวารีย์</v>
          </cell>
          <cell r="D5" t="str">
            <v>MISS PAWENA NILVAREE</v>
          </cell>
          <cell r="E5" t="str">
            <v>Female</v>
          </cell>
          <cell r="F5">
            <v>43788</v>
          </cell>
          <cell r="G5">
            <v>43848</v>
          </cell>
          <cell r="H5">
            <v>43878</v>
          </cell>
          <cell r="I5">
            <v>43907</v>
          </cell>
          <cell r="J5" t="str">
            <v>6 ปี 6 เดือน 6 วัน</v>
          </cell>
          <cell r="K5" t="str">
            <v>บริหารและวางแผนการผลิต</v>
          </cell>
          <cell r="L5" t="str">
            <v>计划员
เจ้าหน้าที่วางแผนการผลิต</v>
          </cell>
          <cell r="M5" t="str">
            <v>Planning</v>
          </cell>
          <cell r="N5">
            <v>35045</v>
          </cell>
          <cell r="O5">
            <v>30</v>
          </cell>
          <cell r="P5" t="str">
            <v>090-441-0448</v>
          </cell>
          <cell r="Q5" t="str">
            <v>1-3111-00243-36-0</v>
          </cell>
          <cell r="R5" t="str">
            <v>ไทย</v>
          </cell>
          <cell r="S5" t="str">
            <v>泰国</v>
          </cell>
          <cell r="T5" t="str">
            <v>ม.6</v>
          </cell>
          <cell r="U5" t="str">
            <v>10 หมุ่ที่23 ตำบลนิคม อำเภอสตึก จังหวัดบุรีรัม์</v>
          </cell>
          <cell r="V5" t="str">
            <v>179/154 หมู่ที่3 ต.มาบยางพร อำเภอปลวกแดง จังหวัดระยอง</v>
          </cell>
          <cell r="W5" t="str">
            <v>รายเดือน</v>
          </cell>
          <cell r="X5" t="str">
            <v>在职</v>
          </cell>
        </row>
        <row r="6">
          <cell r="B6">
            <v>63009</v>
          </cell>
          <cell r="C6" t="str">
            <v>นายภาคภูมิ เยเซอะ</v>
          </cell>
          <cell r="D6" t="str">
            <v>MR. PAKPHUM YESOE</v>
          </cell>
          <cell r="E6" t="str">
            <v>Male</v>
          </cell>
          <cell r="F6">
            <v>44053</v>
          </cell>
          <cell r="G6">
            <v>44113</v>
          </cell>
          <cell r="H6">
            <v>44143</v>
          </cell>
          <cell r="I6">
            <v>44172</v>
          </cell>
          <cell r="J6" t="str">
            <v>5 ปี 9 เดือน 15 วัน</v>
          </cell>
          <cell r="K6" t="str">
            <v>ประกอบ</v>
          </cell>
          <cell r="L6" t="str">
            <v>组装班长H9
หัวหน้างานประกอบH9</v>
          </cell>
          <cell r="M6" t="str">
            <v>Assembly</v>
          </cell>
          <cell r="N6">
            <v>36785</v>
          </cell>
          <cell r="O6">
            <v>25</v>
          </cell>
          <cell r="P6" t="str">
            <v>083-001-7408</v>
          </cell>
          <cell r="Q6" t="str">
            <v>1-5715-00014-28-5</v>
          </cell>
          <cell r="R6" t="str">
            <v>ไทย</v>
          </cell>
          <cell r="S6" t="str">
            <v>泰国</v>
          </cell>
          <cell r="T6" t="str">
            <v>ม.6</v>
          </cell>
          <cell r="U6" t="str">
            <v>353 หมู่ที่16 ต.แม่สลองใน อ.แม่ฟ้าหลวง จ.เชียงราย</v>
          </cell>
          <cell r="V6" t="str">
            <v>379/187 หมู่ที่1 ต.มะขามคู่ อ.นิคมพัฒนา จ.ระยอง 21180</v>
          </cell>
          <cell r="W6" t="str">
            <v>รายเดือน</v>
          </cell>
          <cell r="X6" t="str">
            <v>在职</v>
          </cell>
        </row>
        <row r="7">
          <cell r="B7">
            <v>64003</v>
          </cell>
          <cell r="C7" t="str">
            <v>นายณรงค์วิทย์ แก้วสาร</v>
          </cell>
          <cell r="D7" t="str">
            <v>MR. NARONGWIT KAEOSAN</v>
          </cell>
          <cell r="E7" t="str">
            <v>Male</v>
          </cell>
          <cell r="F7">
            <v>44228</v>
          </cell>
          <cell r="G7">
            <v>44288</v>
          </cell>
          <cell r="H7">
            <v>44318</v>
          </cell>
          <cell r="I7">
            <v>44347</v>
          </cell>
          <cell r="J7" t="str">
            <v>5 ปี 3 เดือน 24 วัน</v>
          </cell>
          <cell r="K7" t="str">
            <v>Stamping</v>
          </cell>
          <cell r="L7" t="str">
            <v>冲压组长
หัวหน้าทีมปั๊มงาน</v>
          </cell>
          <cell r="M7" t="str">
            <v>Stamping</v>
          </cell>
          <cell r="N7">
            <v>34066</v>
          </cell>
          <cell r="O7">
            <v>33</v>
          </cell>
          <cell r="P7" t="str">
            <v>097-051-9806</v>
          </cell>
          <cell r="Q7" t="str">
            <v>1-3501-00274-39-6</v>
          </cell>
          <cell r="R7" t="str">
            <v>ไทย</v>
          </cell>
          <cell r="S7" t="str">
            <v>泰国</v>
          </cell>
          <cell r="T7" t="str">
            <v>ปวส.</v>
          </cell>
          <cell r="U7" t="str">
            <v>10 หมู่ที่4 ต.ขั้นบันไดใหญ่ อ.เมืองยโสธร จ.ยโสธร</v>
          </cell>
          <cell r="V7" t="str">
            <v>855 หมู่ที่2 ต.พนานิคม อ.นิคมพัฒนา จ.ระยอง</v>
          </cell>
          <cell r="W7" t="str">
            <v>รายเดือน</v>
          </cell>
          <cell r="X7" t="str">
            <v>在职</v>
          </cell>
        </row>
        <row r="8">
          <cell r="B8">
            <v>64006</v>
          </cell>
          <cell r="C8" t="str">
            <v>นางสาวลัดดาพร กมล</v>
          </cell>
          <cell r="D8" t="str">
            <v>MISS LADDAPHON KAMON</v>
          </cell>
          <cell r="E8" t="str">
            <v>Female</v>
          </cell>
          <cell r="F8">
            <v>44233</v>
          </cell>
          <cell r="G8">
            <v>44293</v>
          </cell>
          <cell r="H8">
            <v>44323</v>
          </cell>
          <cell r="I8">
            <v>44352</v>
          </cell>
          <cell r="J8" t="str">
            <v>5 ปี 3 เดือน 19 วัน</v>
          </cell>
          <cell r="K8" t="str">
            <v>คลังสินค้า</v>
          </cell>
          <cell r="L8" t="str">
            <v>仓库管理员
เจ้าหน้าที่คลังสินค้า</v>
          </cell>
          <cell r="M8" t="str">
            <v>Warehouse</v>
          </cell>
          <cell r="N8">
            <v>35782</v>
          </cell>
          <cell r="O8">
            <v>28</v>
          </cell>
          <cell r="P8" t="str">
            <v>064-032-6207</v>
          </cell>
          <cell r="Q8" t="str">
            <v>1-3501-00459-21-3</v>
          </cell>
          <cell r="R8" t="str">
            <v>ไทย</v>
          </cell>
          <cell r="S8" t="str">
            <v>泰国</v>
          </cell>
          <cell r="T8" t="str">
            <v>ปวส.</v>
          </cell>
          <cell r="U8" t="str">
            <v>103 หมู่ที่1 ต.เดิด อ.เมืองยโสธร จ.ยโสธร</v>
          </cell>
          <cell r="V8" t="str">
            <v>855 หมู่ที่2 ต.พนานิคม อ.นิคมพัฒนา จ.ระยอง</v>
          </cell>
          <cell r="W8" t="str">
            <v>รายเดือน</v>
          </cell>
          <cell r="X8" t="str">
            <v>在职</v>
          </cell>
        </row>
        <row r="9">
          <cell r="B9">
            <v>64015</v>
          </cell>
          <cell r="C9" t="str">
            <v>นางสาวบังอร โสลา</v>
          </cell>
          <cell r="D9" t="str">
            <v>MISS BANGON SOLA</v>
          </cell>
          <cell r="E9" t="str">
            <v>Female</v>
          </cell>
          <cell r="F9">
            <v>44286</v>
          </cell>
          <cell r="G9">
            <v>44346</v>
          </cell>
          <cell r="H9">
            <v>44376</v>
          </cell>
          <cell r="I9">
            <v>44405</v>
          </cell>
          <cell r="J9" t="str">
            <v>5 ปี 1 เดือน 24 วัน</v>
          </cell>
          <cell r="K9" t="str">
            <v>ประกอบ</v>
          </cell>
          <cell r="L9" t="str">
            <v>套螺帽
เจ้าหน้าที่Cut chamber</v>
          </cell>
          <cell r="M9" t="str">
            <v>Assembly machine</v>
          </cell>
          <cell r="N9">
            <v>35548</v>
          </cell>
          <cell r="O9">
            <v>29</v>
          </cell>
          <cell r="P9" t="str">
            <v>080-738-3101</v>
          </cell>
          <cell r="Q9" t="str">
            <v>1-4023-00004-91-1</v>
          </cell>
          <cell r="R9" t="str">
            <v>ไทย</v>
          </cell>
          <cell r="S9" t="str">
            <v>泰国</v>
          </cell>
          <cell r="T9" t="str">
            <v>ป.6</v>
          </cell>
          <cell r="U9" t="str">
            <v>32 หมู่ที่10 ต.กุดธาตุ อ.หนองนาคำ จ.ขอนแก่น</v>
          </cell>
          <cell r="V9" t="str">
            <v>8/115 ม.2 ต.พนานิคม อ.นิคมพัฒนา จ.ระยอง</v>
          </cell>
          <cell r="W9" t="str">
            <v>รายเดือน</v>
          </cell>
          <cell r="X9" t="str">
            <v>在职</v>
          </cell>
        </row>
        <row r="10">
          <cell r="B10">
            <v>64016</v>
          </cell>
          <cell r="C10" t="str">
            <v>นางสาวอรพิน เหลาบับภา</v>
          </cell>
          <cell r="D10" t="str">
            <v>MISS ORAPIN LAOBABPA</v>
          </cell>
          <cell r="E10" t="str">
            <v>Female</v>
          </cell>
          <cell r="F10">
            <v>44308</v>
          </cell>
          <cell r="G10">
            <v>44368</v>
          </cell>
          <cell r="H10">
            <v>44398</v>
          </cell>
          <cell r="I10">
            <v>44427</v>
          </cell>
          <cell r="J10" t="str">
            <v>5 ปี 1 เดือน 3 วัน</v>
          </cell>
          <cell r="K10" t="str">
            <v>ประกอบ</v>
          </cell>
          <cell r="L10" t="str">
            <v>套扣操作工组长
หัวหน้าผลิตต๊าปเกลียว</v>
          </cell>
          <cell r="M10" t="str">
            <v>Taping</v>
          </cell>
          <cell r="N10">
            <v>34175</v>
          </cell>
          <cell r="O10">
            <v>32</v>
          </cell>
          <cell r="P10" t="str">
            <v>093-375-8210</v>
          </cell>
          <cell r="Q10" t="str">
            <v>1-4113-00203-57-3</v>
          </cell>
          <cell r="R10" t="str">
            <v>ไทย</v>
          </cell>
          <cell r="S10" t="str">
            <v>泰国</v>
          </cell>
          <cell r="T10" t="str">
            <v>ม.6</v>
          </cell>
          <cell r="U10" t="str">
            <v>120 หมู่ที่7 ต.ทรายทอง อ.ศรีบุญเรือง จ.หนองบัวลำภู</v>
          </cell>
          <cell r="V10" t="str">
            <v>8/115 ม.2 ต.พนานิคม อ.นิคมพัฒนา จ.ระยอง</v>
          </cell>
          <cell r="W10" t="str">
            <v>รายเดือน</v>
          </cell>
          <cell r="X10" t="str">
            <v>在职</v>
          </cell>
        </row>
        <row r="11">
          <cell r="B11">
            <v>64028</v>
          </cell>
          <cell r="C11" t="str">
            <v>阚崎</v>
          </cell>
          <cell r="D11" t="str">
            <v>MR.KAN,QI</v>
          </cell>
          <cell r="E11" t="str">
            <v>Male</v>
          </cell>
          <cell r="F11">
            <v>44317</v>
          </cell>
          <cell r="G11">
            <v>44377</v>
          </cell>
          <cell r="H11">
            <v>44407</v>
          </cell>
          <cell r="I11">
            <v>44436</v>
          </cell>
          <cell r="J11" t="str">
            <v>5 ปี 0 เดือน 24 วัน</v>
          </cell>
          <cell r="K11" t="str">
            <v>Manager</v>
          </cell>
          <cell r="L11" t="str">
            <v>总经理
ผู้จัดการ</v>
          </cell>
          <cell r="M11" t="str">
            <v>HR &amp; Administration</v>
          </cell>
          <cell r="N11">
            <v>32178</v>
          </cell>
          <cell r="O11">
            <v>38</v>
          </cell>
          <cell r="P11" t="str">
            <v>063-027-1848</v>
          </cell>
          <cell r="Q11" t="str">
            <v>EG8511636</v>
          </cell>
          <cell r="R11" t="str">
            <v>จีน</v>
          </cell>
          <cell r="S11" t="str">
            <v>中国</v>
          </cell>
          <cell r="T11" t="str">
            <v>ปวส.</v>
          </cell>
          <cell r="U11" t="str">
            <v>7/533 หมู่ที่6 ต.มาบยางพร อ.ปลวกแดง จ.ระยอง 21141</v>
          </cell>
          <cell r="V11" t="str">
            <v>หมู่บ้านพฤกษ์พิมาน บ่อวิน  250/181 ตำบลบ่อวิน อำเภอศรีราชา ชลบุรี 20230</v>
          </cell>
          <cell r="W11" t="str">
            <v>รายเดือน</v>
          </cell>
          <cell r="X11" t="str">
            <v>在职</v>
          </cell>
        </row>
        <row r="12">
          <cell r="B12">
            <v>64058</v>
          </cell>
          <cell r="C12" t="str">
            <v>นายรณชัย แซ่ย้าง</v>
          </cell>
          <cell r="D12" t="str">
            <v>MR. RONNACHAI SAEYANG</v>
          </cell>
          <cell r="E12" t="str">
            <v>Male</v>
          </cell>
          <cell r="F12">
            <v>44481</v>
          </cell>
          <cell r="G12">
            <v>44541</v>
          </cell>
          <cell r="H12">
            <v>44571</v>
          </cell>
          <cell r="I12">
            <v>44600</v>
          </cell>
          <cell r="J12" t="str">
            <v>4 ปี 7 เดือน 13 วัน</v>
          </cell>
          <cell r="K12" t="str">
            <v>คลังสินค้า</v>
          </cell>
          <cell r="L12" t="str">
            <v>仓库管理员
คลังสินค้า (ขับโฟร์คลิฟท์)</v>
          </cell>
          <cell r="M12" t="str">
            <v>Warehouse</v>
          </cell>
          <cell r="N12">
            <v>35499</v>
          </cell>
          <cell r="O12">
            <v>29</v>
          </cell>
          <cell r="P12" t="str">
            <v>067-302-3302</v>
          </cell>
          <cell r="Q12" t="str">
            <v>1-6307-00078-08-1</v>
          </cell>
          <cell r="R12" t="str">
            <v>ไทย</v>
          </cell>
          <cell r="S12" t="str">
            <v>泰国</v>
          </cell>
          <cell r="T12" t="str">
            <v>ป.6</v>
          </cell>
          <cell r="U12" t="str">
            <v>209 หมู่ที่9 ต.คีรีราษฏร์ อ.พบพระ จ.ตาก</v>
          </cell>
          <cell r="V12" t="str">
            <v>299 หมู่ที่5 ต.มะขามคู่ อ.นิคมพัฒนา จ.ระยอง 21180</v>
          </cell>
          <cell r="W12" t="str">
            <v>รายเดือน</v>
          </cell>
          <cell r="X12" t="str">
            <v>在职</v>
          </cell>
        </row>
        <row r="13">
          <cell r="B13">
            <v>65003</v>
          </cell>
          <cell r="C13" t="str">
            <v>นายพีรพล แสนสิม</v>
          </cell>
          <cell r="D13" t="str">
            <v>MR. PHIRAPHON SAENSIM</v>
          </cell>
          <cell r="E13" t="str">
            <v>Male</v>
          </cell>
          <cell r="F13">
            <v>44592</v>
          </cell>
          <cell r="G13">
            <v>44652</v>
          </cell>
          <cell r="H13">
            <v>44682</v>
          </cell>
          <cell r="I13">
            <v>44711</v>
          </cell>
          <cell r="J13" t="str">
            <v>4 ปี 3 เดือน 24 วัน</v>
          </cell>
          <cell r="K13" t="str">
            <v>ประกอบ</v>
          </cell>
          <cell r="L13" t="str">
            <v>组装班长H1
หัวหน้างานประกอบH1</v>
          </cell>
          <cell r="M13" t="str">
            <v>Assembly</v>
          </cell>
          <cell r="N13">
            <v>36751</v>
          </cell>
          <cell r="O13">
            <v>25</v>
          </cell>
          <cell r="P13" t="str">
            <v>061-484-0189</v>
          </cell>
          <cell r="Q13" t="str">
            <v>1-4613-01220-02-1</v>
          </cell>
          <cell r="R13" t="str">
            <v>ไทย</v>
          </cell>
          <cell r="S13" t="str">
            <v>泰国</v>
          </cell>
          <cell r="T13" t="str">
            <v>ปวส.</v>
          </cell>
          <cell r="U13" t="str">
            <v>23 หมู่ที่3 ต.สายนาวัง อ.นาคู จ.กาฬสินธุ์</v>
          </cell>
          <cell r="V13" t="str">
            <v>สิวารมณ์ซิตี้ ซ.21 อ.นิคมพัฒนา จ.ระยอง</v>
          </cell>
          <cell r="W13" t="str">
            <v>รายเดือน</v>
          </cell>
          <cell r="X13" t="str">
            <v>在职</v>
          </cell>
        </row>
        <row r="14">
          <cell r="B14">
            <v>65014</v>
          </cell>
          <cell r="C14" t="str">
            <v>นางสาวอารีย์ แซ่ม้า</v>
          </cell>
          <cell r="D14" t="str">
            <v>MISS AREE SAEMA</v>
          </cell>
          <cell r="E14" t="str">
            <v>Female</v>
          </cell>
          <cell r="F14">
            <v>44655</v>
          </cell>
          <cell r="G14">
            <v>44715</v>
          </cell>
          <cell r="H14">
            <v>44745</v>
          </cell>
          <cell r="I14">
            <v>44774</v>
          </cell>
          <cell r="J14" t="str">
            <v>4 ปี 1 เดือน 21 วัน</v>
          </cell>
          <cell r="K14" t="str">
            <v>คลังสินค้า</v>
          </cell>
          <cell r="L14" t="str">
            <v>仓库管理员
เจ้าหน้าที่คลังสินค้าและบรรจุผลิตภัฑณ์</v>
          </cell>
          <cell r="M14" t="str">
            <v>Warehouse</v>
          </cell>
          <cell r="N14">
            <v>36941</v>
          </cell>
          <cell r="O14">
            <v>25</v>
          </cell>
          <cell r="P14" t="str">
            <v>061-376-3882</v>
          </cell>
          <cell r="Q14" t="str">
            <v>1-6398-00269-42-1</v>
          </cell>
          <cell r="R14" t="str">
            <v>ไทย</v>
          </cell>
          <cell r="S14" t="str">
            <v>泰国</v>
          </cell>
          <cell r="T14" t="str">
            <v>ปวช.</v>
          </cell>
          <cell r="U14" t="str">
            <v>256 หมู่ที่7 ต.มหาวัน อ.แม่สอด จ.ตาก</v>
          </cell>
          <cell r="V14" t="str">
            <v>299 หมู่ที่5 ต.มะขามคู่ อ.นิคมพัฒนา จ.ระยอง 21180</v>
          </cell>
          <cell r="W14" t="str">
            <v>รายเดือน</v>
          </cell>
          <cell r="X14" t="str">
            <v>在职</v>
          </cell>
        </row>
        <row r="15">
          <cell r="B15">
            <v>65024</v>
          </cell>
          <cell r="C15" t="str">
            <v>นางสาวธิดา จะลา</v>
          </cell>
          <cell r="D15" t="str">
            <v>MISS THIDA CHALA</v>
          </cell>
          <cell r="E15" t="str">
            <v>Female</v>
          </cell>
          <cell r="F15">
            <v>44686</v>
          </cell>
          <cell r="G15">
            <v>44746</v>
          </cell>
          <cell r="H15">
            <v>44776</v>
          </cell>
          <cell r="I15">
            <v>44805</v>
          </cell>
          <cell r="J15" t="str">
            <v>4 ปี 0 เดือน 20 วัน</v>
          </cell>
          <cell r="K15" t="str">
            <v>ประกอบ</v>
          </cell>
          <cell r="L15" t="str">
            <v>组装H9
เจ้าหน้าที่ประกอบH9</v>
          </cell>
          <cell r="M15" t="str">
            <v>Assembly</v>
          </cell>
          <cell r="N15">
            <v>36827</v>
          </cell>
          <cell r="O15">
            <v>25</v>
          </cell>
          <cell r="P15" t="str">
            <v>062-250-1105</v>
          </cell>
          <cell r="Q15" t="str">
            <v>8-5803-84001-04-2</v>
          </cell>
          <cell r="R15" t="str">
            <v>ไทย</v>
          </cell>
          <cell r="S15" t="str">
            <v>泰国</v>
          </cell>
          <cell r="T15" t="str">
            <v>ม.6</v>
          </cell>
          <cell r="U15" t="str">
            <v>327 หมู่ที่12 ต.วาวี อ.แม่สรวย จ.เชียงราย</v>
          </cell>
          <cell r="V15" t="str">
            <v>495 หมู่ที่4 ต.พนานิคม อ.นิคมพัฒนา จ.ระยอง</v>
          </cell>
          <cell r="W15" t="str">
            <v>รายเดือน</v>
          </cell>
          <cell r="X15" t="str">
            <v>在职</v>
          </cell>
        </row>
        <row r="16">
          <cell r="B16">
            <v>65025</v>
          </cell>
          <cell r="C16" t="str">
            <v>นายทรงพล ศิริจันทร์</v>
          </cell>
          <cell r="D16" t="str">
            <v>MR. SONGPHON SIRICHAN</v>
          </cell>
          <cell r="E16" t="str">
            <v>Male</v>
          </cell>
          <cell r="F16">
            <v>44690</v>
          </cell>
          <cell r="G16">
            <v>44750</v>
          </cell>
          <cell r="H16">
            <v>44780</v>
          </cell>
          <cell r="I16">
            <v>44809</v>
          </cell>
          <cell r="J16" t="str">
            <v>4 ปี 0 เดือน 16 วัน</v>
          </cell>
          <cell r="K16" t="str">
            <v>Stamping</v>
          </cell>
          <cell r="L16" t="str">
            <v>冲压操作工110T
เจ้าหน้าที่ปั๊มงาน110ตัน</v>
          </cell>
          <cell r="M16" t="str">
            <v>Stamping</v>
          </cell>
          <cell r="N16">
            <v>35576</v>
          </cell>
          <cell r="O16">
            <v>28</v>
          </cell>
          <cell r="P16" t="str">
            <v>098-587-6596</v>
          </cell>
          <cell r="Q16" t="str">
            <v>1-3310-00274-09-3</v>
          </cell>
          <cell r="R16" t="str">
            <v>ไทย</v>
          </cell>
          <cell r="S16" t="str">
            <v>泰国</v>
          </cell>
          <cell r="T16" t="str">
            <v>ม.6</v>
          </cell>
          <cell r="U16" t="str">
            <v>15 หมู่ที่8 ต.ก้านเหลือง อ.อุทุมพรพิสัย จ.ศรีสะเกษ</v>
          </cell>
          <cell r="V16" t="str">
            <v>172/175 ม.6 ต.มาบยางพร อ.ปลวกแดง จ.ระยอง</v>
          </cell>
          <cell r="W16" t="str">
            <v>รายเดือน</v>
          </cell>
          <cell r="X16" t="str">
            <v>在职</v>
          </cell>
        </row>
        <row r="17">
          <cell r="B17">
            <v>65027</v>
          </cell>
          <cell r="C17" t="str">
            <v>นางสาวสุภาพร ปิ่นทอง</v>
          </cell>
          <cell r="D17" t="str">
            <v>MISS SUPAPORN PINTONG</v>
          </cell>
          <cell r="E17" t="str">
            <v>Female</v>
          </cell>
          <cell r="F17">
            <v>44718</v>
          </cell>
          <cell r="G17">
            <v>44778</v>
          </cell>
          <cell r="H17">
            <v>44808</v>
          </cell>
          <cell r="I17">
            <v>44837</v>
          </cell>
          <cell r="J17" t="str">
            <v>3 ปี 11 เดือน 19 วัน</v>
          </cell>
          <cell r="K17" t="str">
            <v>ตรวจสอบคุณภาพ</v>
          </cell>
          <cell r="L17" t="str">
            <v>检验员QC
เจ้าหน้าที่ QC</v>
          </cell>
          <cell r="M17" t="str">
            <v>Quality</v>
          </cell>
          <cell r="N17">
            <v>34941</v>
          </cell>
          <cell r="O17">
            <v>30</v>
          </cell>
          <cell r="P17" t="str">
            <v>084-284-2329</v>
          </cell>
          <cell r="Q17" t="str">
            <v>1-2499-00378-57-8</v>
          </cell>
          <cell r="R17" t="str">
            <v>ไทย</v>
          </cell>
          <cell r="S17" t="str">
            <v>泰国</v>
          </cell>
          <cell r="T17" t="str">
            <v>ม.6</v>
          </cell>
          <cell r="U17" t="str">
            <v>121/1 หมู่ที่ 5 ต.มะขามคู่ อ.นิคมพัฒนา  จ.ระยอง</v>
          </cell>
          <cell r="V17" t="str">
            <v>153/5 ม.1 ต.มะขามคู่ อ.นิคมพัฒนา  จ.ระยอง</v>
          </cell>
          <cell r="W17" t="str">
            <v>รายเดือน</v>
          </cell>
          <cell r="X17" t="str">
            <v>在职</v>
          </cell>
        </row>
        <row r="18">
          <cell r="B18">
            <v>65033</v>
          </cell>
          <cell r="C18" t="str">
            <v>นางสาวลักษมณ มหาโชติ</v>
          </cell>
          <cell r="D18" t="str">
            <v>MISS LAGSAMON MAHACHOTI</v>
          </cell>
          <cell r="E18" t="str">
            <v>Female</v>
          </cell>
          <cell r="F18">
            <v>44781</v>
          </cell>
          <cell r="G18">
            <v>44841</v>
          </cell>
          <cell r="H18">
            <v>44871</v>
          </cell>
          <cell r="I18">
            <v>44900</v>
          </cell>
          <cell r="J18" t="str">
            <v>3 ปี 9 เดือน 17 วัน</v>
          </cell>
          <cell r="K18" t="str">
            <v>ตรวจสอบคุณภาพ</v>
          </cell>
          <cell r="L18" t="str">
            <v>检验员QC
เจ้าหน้าที่ QC</v>
          </cell>
          <cell r="M18" t="str">
            <v>Quality</v>
          </cell>
          <cell r="N18">
            <v>33639</v>
          </cell>
          <cell r="O18">
            <v>34</v>
          </cell>
          <cell r="P18" t="str">
            <v>092-704-2110</v>
          </cell>
          <cell r="Q18" t="str">
            <v>1-4009-00173-35-6</v>
          </cell>
          <cell r="R18" t="str">
            <v>ไทย</v>
          </cell>
          <cell r="S18" t="str">
            <v>泰国</v>
          </cell>
          <cell r="T18" t="str">
            <v>ม.6</v>
          </cell>
          <cell r="U18" t="str">
            <v>2 หมู่ที่ 8 ต.กุดปลาดุก อ.ชื่นชม จ.มหาสารคาม</v>
          </cell>
          <cell r="V18" t="str">
            <v>159 ม.6 ต.มาบยางพร อ.ปลวกแดง จ.ระยอง</v>
          </cell>
          <cell r="W18" t="str">
            <v>รายเดือน</v>
          </cell>
          <cell r="X18" t="str">
            <v>在职</v>
          </cell>
        </row>
        <row r="19">
          <cell r="B19">
            <v>65035</v>
          </cell>
          <cell r="C19" t="str">
            <v>นางสาวนิตยา จักโนวัน</v>
          </cell>
          <cell r="D19" t="str">
            <v>MISS NITAYA JAKNOWAN</v>
          </cell>
          <cell r="E19" t="str">
            <v>Female</v>
          </cell>
          <cell r="F19">
            <v>44791</v>
          </cell>
          <cell r="G19">
            <v>44851</v>
          </cell>
          <cell r="H19">
            <v>44881</v>
          </cell>
          <cell r="I19">
            <v>44910</v>
          </cell>
          <cell r="J19" t="str">
            <v>3 ปี 9 เดือน 7 วัน</v>
          </cell>
          <cell r="K19" t="str">
            <v>ประกอบ</v>
          </cell>
          <cell r="L19" t="str">
            <v>组装H9
เจ้าหน้าที่ประกอบH9</v>
          </cell>
          <cell r="M19" t="str">
            <v>Assembly</v>
          </cell>
          <cell r="N19">
            <v>37850</v>
          </cell>
          <cell r="O19">
            <v>22</v>
          </cell>
          <cell r="P19" t="str">
            <v>099-467-3281</v>
          </cell>
          <cell r="Q19" t="str">
            <v>1-4077-00020-08-1</v>
          </cell>
          <cell r="R19" t="str">
            <v>ไทย</v>
          </cell>
          <cell r="S19" t="str">
            <v>泰国</v>
          </cell>
          <cell r="T19" t="str">
            <v>ม.6</v>
          </cell>
          <cell r="U19" t="str">
            <v>32 หมู่ที่10 ต.กุดธาตุ อ.หนองนาคำ จ.ขอนแก่น</v>
          </cell>
          <cell r="V19" t="str">
            <v>8/115 ม.2 ต.พนานิคม อ.นิคมพัฒนา จ.ระยอง</v>
          </cell>
          <cell r="W19" t="str">
            <v>รายเดือน</v>
          </cell>
          <cell r="X19" t="str">
            <v>在职</v>
          </cell>
        </row>
        <row r="20">
          <cell r="B20">
            <v>66005</v>
          </cell>
          <cell r="C20" t="str">
            <v>นายไพวัลย์ รังสุวรรณ์</v>
          </cell>
          <cell r="D20" t="str">
            <v>MR. PAIWAN RANGSUWAN</v>
          </cell>
          <cell r="E20" t="str">
            <v>Male</v>
          </cell>
          <cell r="F20">
            <v>44951</v>
          </cell>
          <cell r="G20">
            <v>45011</v>
          </cell>
          <cell r="H20">
            <v>45041</v>
          </cell>
          <cell r="I20">
            <v>45070</v>
          </cell>
          <cell r="J20" t="str">
            <v>3 ปี 4 เดือน 0 วัน</v>
          </cell>
          <cell r="K20" t="str">
            <v>พ่นสี</v>
          </cell>
          <cell r="L20" t="str">
            <v>เจ้าหน้าที่พ่นสี     喷涂</v>
          </cell>
          <cell r="M20" t="str">
            <v>Coating</v>
          </cell>
          <cell r="N20">
            <v>34602</v>
          </cell>
          <cell r="O20">
            <v>31</v>
          </cell>
          <cell r="P20" t="str">
            <v>064-683-3915</v>
          </cell>
          <cell r="Q20" t="str">
            <v>1-3102-00111-25-1</v>
          </cell>
          <cell r="R20" t="str">
            <v>ไทย</v>
          </cell>
          <cell r="S20" t="str">
            <v>泰国</v>
          </cell>
          <cell r="T20" t="str">
            <v>ม.3</v>
          </cell>
          <cell r="U20" t="str">
            <v>162 หมู่ที่5 ต.ตูมใหญ่ อ.คูเมือง จ.บุรีรัมย์</v>
          </cell>
          <cell r="V20" t="str">
            <v>176 หมู่ที่3 ต.มาบยางพร อ.ปลวกแดง จ.ระยอง</v>
          </cell>
          <cell r="W20" t="str">
            <v>รายเดือน</v>
          </cell>
          <cell r="X20" t="str">
            <v>在职</v>
          </cell>
        </row>
        <row r="21">
          <cell r="B21">
            <v>66016</v>
          </cell>
          <cell r="C21" t="str">
            <v>นายกิตติธัช หม่อมสละ</v>
          </cell>
          <cell r="D21" t="str">
            <v>MR. KITTIHAT MOMSALA</v>
          </cell>
          <cell r="E21" t="str">
            <v>Male</v>
          </cell>
          <cell r="F21">
            <v>45009</v>
          </cell>
          <cell r="G21">
            <v>45069</v>
          </cell>
          <cell r="H21">
            <v>45099</v>
          </cell>
          <cell r="I21">
            <v>45128</v>
          </cell>
          <cell r="J21" t="str">
            <v>3 ปี 2 เดือน 1 วัน</v>
          </cell>
          <cell r="K21" t="str">
            <v>Bending</v>
          </cell>
          <cell r="L21" t="str">
            <v>折弯机组长
Leader ควบคุมเครื่องBending</v>
          </cell>
          <cell r="M21" t="str">
            <v>Bending</v>
          </cell>
          <cell r="N21">
            <v>35503</v>
          </cell>
          <cell r="O21">
            <v>29</v>
          </cell>
          <cell r="P21" t="str">
            <v>098-732-2432</v>
          </cell>
          <cell r="Q21" t="str">
            <v>2-3407-00040-22-0</v>
          </cell>
          <cell r="R21" t="str">
            <v>ไทย</v>
          </cell>
          <cell r="S21" t="str">
            <v>泰国</v>
          </cell>
          <cell r="T21" t="str">
            <v>ม.6</v>
          </cell>
          <cell r="U21" t="str">
            <v>97 หมู่ที่1 ต.นากระแซง อ.เดชอุดม จ.อุบลราชธานี</v>
          </cell>
          <cell r="V21" t="str">
            <v>413/11 ซ.เทศบาล1 ต.ปลวกแดง อ.ปลวกแดง จ.ระยอง</v>
          </cell>
          <cell r="W21" t="str">
            <v>รายเดือน</v>
          </cell>
          <cell r="X21" t="str">
            <v>在职</v>
          </cell>
        </row>
        <row r="22">
          <cell r="B22">
            <v>66029</v>
          </cell>
          <cell r="C22" t="str">
            <v>นายฐานันดร โททำ</v>
          </cell>
          <cell r="D22" t="str">
            <v>MR.THANANDORN THOTHAM</v>
          </cell>
          <cell r="E22" t="str">
            <v>Male</v>
          </cell>
          <cell r="F22">
            <v>45037</v>
          </cell>
          <cell r="G22">
            <v>45097</v>
          </cell>
          <cell r="H22">
            <v>45127</v>
          </cell>
          <cell r="I22">
            <v>45156</v>
          </cell>
          <cell r="J22" t="str">
            <v>3 ปี 1 เดือน 4 วัน</v>
          </cell>
          <cell r="K22" t="str">
            <v>ซ่อมบำรุง</v>
          </cell>
          <cell r="L22" t="str">
            <v>维修摸具
ช่างซ่อมแม่พิมพ์</v>
          </cell>
          <cell r="M22" t="str">
            <v>Equipment</v>
          </cell>
          <cell r="N22">
            <v>36110</v>
          </cell>
          <cell r="O22">
            <v>27</v>
          </cell>
          <cell r="P22" t="str">
            <v>093-086-8852</v>
          </cell>
          <cell r="Q22" t="str">
            <v>1-4403-00219-42-8</v>
          </cell>
          <cell r="R22" t="str">
            <v>ไทย</v>
          </cell>
          <cell r="S22" t="str">
            <v>泰国</v>
          </cell>
          <cell r="T22" t="str">
            <v>ปวส.</v>
          </cell>
          <cell r="U22" t="str">
            <v>186 หมู่ที่3 ต.ดอนกลาง อ.โกสุมพิสัย จ.มหาสารคาม</v>
          </cell>
          <cell r="V22" t="str">
            <v>234/52 เทพประทานพร9 ต.บ่อวิน อ.ศรีราชา จ.ชลบุรี</v>
          </cell>
          <cell r="W22" t="str">
            <v>รายเดือน</v>
          </cell>
          <cell r="X22" t="str">
            <v>在职</v>
          </cell>
        </row>
        <row r="23">
          <cell r="B23">
            <v>66038</v>
          </cell>
          <cell r="C23" t="str">
            <v>นางสาวฝนทิพย์ ทัพอินทร์</v>
          </cell>
          <cell r="D23" t="str">
            <v>MISS PHONTIP TUPIN</v>
          </cell>
          <cell r="E23" t="str">
            <v>Female</v>
          </cell>
          <cell r="F23">
            <v>45092</v>
          </cell>
          <cell r="G23">
            <v>45152</v>
          </cell>
          <cell r="H23">
            <v>45182</v>
          </cell>
          <cell r="I23">
            <v>45211</v>
          </cell>
          <cell r="J23" t="str">
            <v>2 ปี 11 เดือน 10 วัน</v>
          </cell>
          <cell r="K23" t="str">
            <v>บัญชี</v>
          </cell>
          <cell r="L23" t="str">
            <v>财务主管
หัวหน้าฝ่ายบัญชี</v>
          </cell>
          <cell r="M23" t="str">
            <v>Finance</v>
          </cell>
          <cell r="N23">
            <v>30286</v>
          </cell>
          <cell r="O23">
            <v>43</v>
          </cell>
          <cell r="P23" t="str">
            <v>064-237-1555</v>
          </cell>
          <cell r="Q23" t="str">
            <v>3-2007-00528-95-7</v>
          </cell>
          <cell r="R23" t="str">
            <v>ไทย</v>
          </cell>
          <cell r="S23" t="str">
            <v>泰国</v>
          </cell>
          <cell r="T23" t="str">
            <v>ปริญญาตรี</v>
          </cell>
          <cell r="U23" t="str">
            <v>227/2 หมู่ที่4 ต.บ่อวิน อ.ศรีราชา จ.ชลบุรี 20230</v>
          </cell>
          <cell r="V23" t="str">
            <v>227/2 หมู่ที่4 ต.บ่อวิน อ.ศรีราชา จ.ชลบุรี 20230</v>
          </cell>
          <cell r="W23" t="str">
            <v>รายเดือน</v>
          </cell>
          <cell r="X23" t="str">
            <v>在职</v>
          </cell>
        </row>
        <row r="24">
          <cell r="B24">
            <v>66043</v>
          </cell>
          <cell r="C24" t="str">
            <v>นางสาวพัชดา เรืองไชย</v>
          </cell>
          <cell r="D24" t="str">
            <v>MISS PHATCHADA RUEANGCHAI</v>
          </cell>
          <cell r="E24" t="str">
            <v>Female</v>
          </cell>
          <cell r="F24">
            <v>45121</v>
          </cell>
          <cell r="G24">
            <v>45181</v>
          </cell>
          <cell r="H24">
            <v>45211</v>
          </cell>
          <cell r="I24">
            <v>45240</v>
          </cell>
          <cell r="J24" t="str">
            <v>2 ปี 10 เดือน 11 วัน</v>
          </cell>
          <cell r="K24" t="str">
            <v>ตรวจสอบคุณภาพ</v>
          </cell>
          <cell r="L24" t="str">
            <v>检验员QC
เจ้าหน้าที่ QC</v>
          </cell>
          <cell r="M24" t="str">
            <v>Quality</v>
          </cell>
          <cell r="N24">
            <v>35586</v>
          </cell>
          <cell r="O24">
            <v>28</v>
          </cell>
          <cell r="P24" t="str">
            <v>092-949-6697</v>
          </cell>
          <cell r="Q24" t="str">
            <v>1-4099-01554-25-4</v>
          </cell>
          <cell r="R24" t="str">
            <v>ไทย</v>
          </cell>
          <cell r="S24" t="str">
            <v>泰国</v>
          </cell>
          <cell r="T24" t="str">
            <v>ปวส.</v>
          </cell>
          <cell r="U24" t="str">
            <v>84/2 หมู่12 ต.สงเปลือย อ.เขาวง จ.กาฬสินธุ์</v>
          </cell>
          <cell r="V24" t="str">
            <v>888/282 ม.3 ต.บ่อวิน อ.ศรีราชา จ.ชลบุรี 20230</v>
          </cell>
          <cell r="W24" t="str">
            <v>รายเดือน</v>
          </cell>
          <cell r="X24" t="str">
            <v>在职</v>
          </cell>
        </row>
        <row r="25">
          <cell r="B25">
            <v>66044</v>
          </cell>
          <cell r="C25" t="str">
            <v>นางสาวอรทัย วงษาชัย</v>
          </cell>
          <cell r="D25" t="str">
            <v>MISS ORATAI WONGSACHAI</v>
          </cell>
          <cell r="E25" t="str">
            <v>Female</v>
          </cell>
          <cell r="F25">
            <v>45121</v>
          </cell>
          <cell r="G25">
            <v>45181</v>
          </cell>
          <cell r="H25">
            <v>45211</v>
          </cell>
          <cell r="I25">
            <v>45240</v>
          </cell>
          <cell r="J25" t="str">
            <v>2 ปี 10 เดือน 11 วัน</v>
          </cell>
          <cell r="K25" t="str">
            <v>คลังสินค้า</v>
          </cell>
          <cell r="L25" t="str">
            <v>仓库管理员
เจ้าหน้าที่คลังสินค้า</v>
          </cell>
          <cell r="M25" t="str">
            <v>Warehouse</v>
          </cell>
          <cell r="N25">
            <v>34252</v>
          </cell>
          <cell r="O25">
            <v>32</v>
          </cell>
          <cell r="P25" t="str">
            <v>095-386-0847</v>
          </cell>
          <cell r="Q25" t="str">
            <v>1-2207-00030-40-5</v>
          </cell>
          <cell r="R25" t="str">
            <v>ไทย</v>
          </cell>
          <cell r="S25" t="str">
            <v>泰国</v>
          </cell>
          <cell r="T25" t="str">
            <v>ปวส.</v>
          </cell>
          <cell r="U25" t="str">
            <v>13/3 หมู่2 ต.ทุ่งขนาน อ.สอยดาว จ.จันทบุรี</v>
          </cell>
          <cell r="V25" t="str">
            <v>347/7 ม.7 ต.บ่อวิน อ.ศรีราชา จ.ชลบุรี</v>
          </cell>
          <cell r="W25" t="str">
            <v>รายเดือน</v>
          </cell>
          <cell r="X25" t="str">
            <v>在职</v>
          </cell>
          <cell r="Y25" t="str">
            <v>แจ้งเข้าประกันสังคมแล้ว</v>
          </cell>
        </row>
        <row r="26">
          <cell r="B26">
            <v>66047</v>
          </cell>
          <cell r="C26" t="str">
            <v>นายประชัน เมืองคง</v>
          </cell>
          <cell r="D26" t="str">
            <v>MR. PRACHAN MUEANGKHONG</v>
          </cell>
          <cell r="E26" t="str">
            <v>Male</v>
          </cell>
          <cell r="F26">
            <v>45121</v>
          </cell>
          <cell r="G26">
            <v>45181</v>
          </cell>
          <cell r="H26">
            <v>45211</v>
          </cell>
          <cell r="I26">
            <v>45240</v>
          </cell>
          <cell r="J26" t="str">
            <v>2 ปี 10 เดือน 11 วัน</v>
          </cell>
          <cell r="K26" t="str">
            <v>หลอมอลูมิเนียม</v>
          </cell>
          <cell r="L26" t="str">
            <v>压铸厂
Leader ฝ่ายหลอมอลูมิเนียม</v>
          </cell>
          <cell r="M26" t="str">
            <v>Die Casting</v>
          </cell>
          <cell r="N26">
            <v>35460</v>
          </cell>
          <cell r="O26">
            <v>29</v>
          </cell>
          <cell r="P26" t="str">
            <v>082-706-2699</v>
          </cell>
          <cell r="Q26" t="str">
            <v>1-3505-00086-31-7</v>
          </cell>
          <cell r="R26" t="str">
            <v>ไทย</v>
          </cell>
          <cell r="S26" t="str">
            <v>泰国</v>
          </cell>
          <cell r="T26" t="str">
            <v>ป.6</v>
          </cell>
          <cell r="U26" t="str">
            <v>92 หมู่7 ต.โคกนาโฏ อ.ป่าติว จ.ยโสธร</v>
          </cell>
          <cell r="V26" t="str">
            <v>620 หมู่4 ต.พนานิคม อ.นิคมพัฒนา จ.ระยอง</v>
          </cell>
          <cell r="W26" t="str">
            <v>รายเดือน</v>
          </cell>
          <cell r="X26" t="str">
            <v>在职</v>
          </cell>
          <cell r="Y26" t="str">
            <v>แจ้งเข้าประกันสังคมแล้ว</v>
          </cell>
        </row>
        <row r="27">
          <cell r="B27">
            <v>66051</v>
          </cell>
          <cell r="C27" t="str">
            <v>นางสาวกวิสรา สุภาพันธ์</v>
          </cell>
          <cell r="D27" t="str">
            <v>MISS KAWISARA SUPAPAN</v>
          </cell>
          <cell r="E27" t="str">
            <v>Female</v>
          </cell>
          <cell r="F27">
            <v>45124</v>
          </cell>
          <cell r="G27">
            <v>45184</v>
          </cell>
          <cell r="H27">
            <v>45214</v>
          </cell>
          <cell r="I27">
            <v>45243</v>
          </cell>
          <cell r="J27" t="str">
            <v>2 ปี 10 เดือน 8 วัน</v>
          </cell>
          <cell r="K27" t="str">
            <v>Production</v>
          </cell>
          <cell r="L27" t="str">
            <v>行政
ฝ่ายธุรการ</v>
          </cell>
          <cell r="M27" t="str">
            <v>Production</v>
          </cell>
          <cell r="N27">
            <v>35943</v>
          </cell>
          <cell r="O27">
            <v>27</v>
          </cell>
          <cell r="P27" t="str">
            <v>062-170-8165</v>
          </cell>
          <cell r="Q27" t="str">
            <v>1-4-015-00149-12-8</v>
          </cell>
          <cell r="R27" t="str">
            <v>ไทย</v>
          </cell>
          <cell r="S27" t="str">
            <v>泰国</v>
          </cell>
          <cell r="T27" t="str">
            <v>ปริญญาตรี</v>
          </cell>
          <cell r="U27" t="str">
            <v>42 หมู่9 ต.หนองไผ่ล้อม อ.หนองสองห้อง จ.ขอนแก่น</v>
          </cell>
          <cell r="V27" t="str">
            <v>333/16 หมู่4 ต.มาบยางพร อ.ปลวกแดง จ.ระยอง</v>
          </cell>
          <cell r="W27" t="str">
            <v>รายเดือน</v>
          </cell>
          <cell r="X27" t="str">
            <v>在职</v>
          </cell>
          <cell r="Y27" t="str">
            <v>แจ้งเข้าประกันสังคมแล้ว</v>
          </cell>
        </row>
        <row r="28">
          <cell r="B28">
            <v>66054</v>
          </cell>
          <cell r="C28" t="str">
            <v>นางสาวสุวนันท์ ธงชัย</v>
          </cell>
          <cell r="D28" t="str">
            <v>MISS SUWANAN THONGCHAI</v>
          </cell>
          <cell r="E28" t="str">
            <v>Female</v>
          </cell>
          <cell r="F28">
            <v>45132</v>
          </cell>
          <cell r="G28">
            <v>45192</v>
          </cell>
          <cell r="H28">
            <v>45222</v>
          </cell>
          <cell r="I28">
            <v>45251</v>
          </cell>
          <cell r="J28" t="str">
            <v>2 ปี 10 เดือน 0 วัน</v>
          </cell>
          <cell r="K28" t="str">
            <v>คลังสินค้า</v>
          </cell>
          <cell r="L28" t="str">
            <v>分选组长Leaderฝ่ายคัดงาน</v>
          </cell>
          <cell r="M28" t="str">
            <v>Warehouse</v>
          </cell>
          <cell r="N28">
            <v>35704</v>
          </cell>
          <cell r="O28">
            <v>28</v>
          </cell>
          <cell r="P28" t="str">
            <v>062-552-1869</v>
          </cell>
          <cell r="Q28" t="str">
            <v>1-4805-00215-82-5</v>
          </cell>
          <cell r="R28" t="str">
            <v>ไทย</v>
          </cell>
          <cell r="S28" t="str">
            <v>泰国</v>
          </cell>
          <cell r="T28" t="str">
            <v>ม.3</v>
          </cell>
          <cell r="U28" t="str">
            <v>25 หมู่5 ต.โพนแพง อ.ธาตุพนม จ.นครพนม</v>
          </cell>
          <cell r="V28" t="str">
            <v>179/136 ม.3 ต.มาบยางพร อ.ปลลวกแดง จ.ระยอง</v>
          </cell>
          <cell r="W28" t="str">
            <v>รายเดือน</v>
          </cell>
          <cell r="X28" t="str">
            <v>在职</v>
          </cell>
        </row>
        <row r="29">
          <cell r="B29">
            <v>66055</v>
          </cell>
          <cell r="C29" t="str">
            <v>นางสาวภารดี ชาภูธร</v>
          </cell>
          <cell r="D29" t="str">
            <v>MISS PARADEE CHAPHUTHON</v>
          </cell>
          <cell r="E29" t="str">
            <v>Female</v>
          </cell>
          <cell r="F29">
            <v>45138</v>
          </cell>
          <cell r="G29">
            <v>45198</v>
          </cell>
          <cell r="H29">
            <v>45228</v>
          </cell>
          <cell r="I29">
            <v>45257</v>
          </cell>
          <cell r="J29" t="str">
            <v>2 ปี 9 เดือน 24 วัน</v>
          </cell>
          <cell r="K29" t="str">
            <v>ประกอบ</v>
          </cell>
          <cell r="L29" t="str">
            <v>组装H9
เจ้าหน้าที่ประกอบH9</v>
          </cell>
          <cell r="M29" t="str">
            <v>Assembly</v>
          </cell>
          <cell r="N29">
            <v>35167</v>
          </cell>
          <cell r="O29">
            <v>30</v>
          </cell>
          <cell r="P29" t="str">
            <v>092-457-4814</v>
          </cell>
          <cell r="Q29" t="str">
            <v>1-3209-00252-28-1</v>
          </cell>
          <cell r="R29" t="str">
            <v>ไทย</v>
          </cell>
          <cell r="S29" t="str">
            <v>泰国</v>
          </cell>
          <cell r="T29" t="str">
            <v>ม.6</v>
          </cell>
          <cell r="U29" t="str">
            <v>4/2 หมู่1 ต.ผักไหม อ.ศชรภูมิ จ.สุรินทร์</v>
          </cell>
          <cell r="V29" t="str">
            <v>88/79 หมู่4 ต.มาบยางพร อ.ปลวกแดง จ.ระยอง</v>
          </cell>
          <cell r="W29" t="str">
            <v>รายเดือน</v>
          </cell>
          <cell r="X29" t="str">
            <v>在职</v>
          </cell>
        </row>
        <row r="30">
          <cell r="B30">
            <v>66059</v>
          </cell>
          <cell r="C30" t="str">
            <v>นางสาวเพ็ญสิริ สิงห์ทอง</v>
          </cell>
          <cell r="D30" t="str">
            <v>MISS PENSIRI  SINGTONG</v>
          </cell>
          <cell r="E30" t="str">
            <v>Female</v>
          </cell>
          <cell r="F30">
            <v>45138</v>
          </cell>
          <cell r="G30">
            <v>45198</v>
          </cell>
          <cell r="H30">
            <v>45228</v>
          </cell>
          <cell r="I30">
            <v>45257</v>
          </cell>
          <cell r="J30" t="str">
            <v>2 ปี 9 เดือน 24 วัน</v>
          </cell>
          <cell r="K30" t="str">
            <v>ประกอบ</v>
          </cell>
          <cell r="L30" t="str">
            <v>套螺帽
เจ้าหน้าที่Cut chamber</v>
          </cell>
          <cell r="M30" t="str">
            <v>Assembly machine</v>
          </cell>
          <cell r="N30">
            <v>36710</v>
          </cell>
          <cell r="O30">
            <v>25</v>
          </cell>
          <cell r="P30" t="str">
            <v>062-573-7205</v>
          </cell>
          <cell r="Q30" t="str">
            <v>1-3210-01439-40-1</v>
          </cell>
          <cell r="R30" t="str">
            <v>ไทย</v>
          </cell>
          <cell r="S30" t="str">
            <v>泰国</v>
          </cell>
          <cell r="U30" t="str">
            <v>39/1 หมู่ที่3 ต.ขอนแตก อ.สังขะ จ.สุรินทร์</v>
          </cell>
          <cell r="V30" t="str">
            <v>75/81 หมู่ที่2 ต.มะขามคู่ อ.นิครพัฒนา จ.ระยอง</v>
          </cell>
          <cell r="W30" t="str">
            <v>รายเดือน</v>
          </cell>
          <cell r="X30" t="str">
            <v>在职</v>
          </cell>
        </row>
        <row r="31">
          <cell r="B31">
            <v>66060</v>
          </cell>
          <cell r="C31" t="str">
            <v>นายผดุงศักดิ์ จันสีลา</v>
          </cell>
          <cell r="D31" t="str">
            <v>MR. PHADUNGSAK CHANSILA</v>
          </cell>
          <cell r="E31" t="str">
            <v>Male</v>
          </cell>
          <cell r="F31">
            <v>45145</v>
          </cell>
          <cell r="G31">
            <v>45205</v>
          </cell>
          <cell r="H31">
            <v>45235</v>
          </cell>
          <cell r="I31">
            <v>45264</v>
          </cell>
          <cell r="J31" t="str">
            <v>2 ปี 9 เดือน 18 วัน</v>
          </cell>
          <cell r="K31" t="str">
            <v>ประกอบ</v>
          </cell>
          <cell r="L31" t="str">
            <v>组装H1
เจ้าหน้าที่ประกอบH1</v>
          </cell>
          <cell r="M31" t="str">
            <v>Assembly</v>
          </cell>
          <cell r="N31">
            <v>36212</v>
          </cell>
          <cell r="O31">
            <v>27</v>
          </cell>
          <cell r="P31" t="str">
            <v>064-553-5752</v>
          </cell>
          <cell r="Q31" t="str">
            <v>1-4099-01782-83-4</v>
          </cell>
          <cell r="R31" t="str">
            <v>ไทย</v>
          </cell>
          <cell r="S31" t="str">
            <v>泰国</v>
          </cell>
          <cell r="T31" t="str">
            <v>ม.3</v>
          </cell>
          <cell r="U31" t="str">
            <v>160 หมู่ที่1 ต.ดพนงาม อ.โกสุมพิสัย จ.มหาสารคาม</v>
          </cell>
          <cell r="V31" t="str">
            <v>105 หมู่4 ต.มาบยางพร อ.ปลวกแดง จ.ระยอง</v>
          </cell>
          <cell r="W31" t="str">
            <v>รายเดือน</v>
          </cell>
          <cell r="X31" t="str">
            <v>在职</v>
          </cell>
          <cell r="Y31" t="str">
            <v>ย้ายมาจาก H9 วันที่ 18-05-2026</v>
          </cell>
        </row>
        <row r="32">
          <cell r="B32">
            <v>66064</v>
          </cell>
          <cell r="C32" t="str">
            <v>นายอรรถพร แสงตะวัน</v>
          </cell>
          <cell r="D32" t="str">
            <v>MR.ADTAPORN SANGTAWAN</v>
          </cell>
          <cell r="E32" t="str">
            <v>Male</v>
          </cell>
          <cell r="F32">
            <v>45146</v>
          </cell>
          <cell r="G32">
            <v>45206</v>
          </cell>
          <cell r="H32">
            <v>45236</v>
          </cell>
          <cell r="I32">
            <v>45265</v>
          </cell>
          <cell r="J32" t="str">
            <v>2 ปี 9 เดือน 17 วัน</v>
          </cell>
          <cell r="K32" t="str">
            <v>ประกอบ</v>
          </cell>
          <cell r="L32" t="str">
            <v>组装班长H9
หัวหน้างานประกอบH9</v>
          </cell>
          <cell r="M32" t="str">
            <v>Assembly</v>
          </cell>
          <cell r="N32">
            <v>37186</v>
          </cell>
          <cell r="O32">
            <v>24</v>
          </cell>
          <cell r="P32" t="str">
            <v>064-043-4791</v>
          </cell>
          <cell r="Q32" t="str">
            <v>1-3392-00006-64-2</v>
          </cell>
          <cell r="R32" t="str">
            <v>ไทย</v>
          </cell>
          <cell r="S32" t="str">
            <v>泰国</v>
          </cell>
          <cell r="T32" t="str">
            <v>ม.3</v>
          </cell>
          <cell r="U32" t="str">
            <v>72 หมู่ที่13 ต.กันทรอม อ.ขุนหาญ จ.ศรีสะเกษ</v>
          </cell>
          <cell r="V32" t="str">
            <v>89 หมู่4 ต.มาบยางพร อ.ปลวกแดง จ.ระยอง</v>
          </cell>
          <cell r="W32" t="str">
            <v>รายเดือน</v>
          </cell>
          <cell r="X32" t="str">
            <v>在职</v>
          </cell>
        </row>
        <row r="33">
          <cell r="B33">
            <v>66076</v>
          </cell>
          <cell r="C33" t="str">
            <v>นางสาวปรางทิพย์ เชื้อจีน</v>
          </cell>
          <cell r="D33" t="str">
            <v>MISS.PRANGTHIP  CHUAJEEN</v>
          </cell>
          <cell r="E33" t="str">
            <v>Female</v>
          </cell>
          <cell r="F33">
            <v>45174</v>
          </cell>
          <cell r="G33">
            <v>45234</v>
          </cell>
          <cell r="H33">
            <v>45264</v>
          </cell>
          <cell r="I33">
            <v>45293</v>
          </cell>
          <cell r="J33" t="str">
            <v>2 ปี 8 เดือน 20 วัน</v>
          </cell>
          <cell r="K33" t="str">
            <v>ตรวจสอบคุณภาพ</v>
          </cell>
          <cell r="L33" t="str">
            <v>检验员QC
เจ้าหน้าที่ QC</v>
          </cell>
          <cell r="M33" t="str">
            <v>Quality</v>
          </cell>
          <cell r="N33">
            <v>34614</v>
          </cell>
          <cell r="O33">
            <v>31</v>
          </cell>
          <cell r="P33" t="str">
            <v>082-617-9614</v>
          </cell>
          <cell r="Q33" t="str">
            <v>1-3020-00195-24-1</v>
          </cell>
          <cell r="R33" t="str">
            <v>ไทย</v>
          </cell>
          <cell r="S33" t="str">
            <v>泰国</v>
          </cell>
          <cell r="T33" t="str">
            <v>ปวส.</v>
          </cell>
          <cell r="U33" t="str">
            <v>97 หมู่ที่2 ต.วังโรงใหญ่ อ.สีคิ้ว จ.นครราชสีมา</v>
          </cell>
          <cell r="V33" t="str">
            <v>123/20  ม.4 ต.มะขามคู่ อ.นิคมพัฒนา จ.รแยง</v>
          </cell>
          <cell r="W33" t="str">
            <v>รายเดือน</v>
          </cell>
          <cell r="X33" t="str">
            <v>在职</v>
          </cell>
        </row>
        <row r="34">
          <cell r="B34">
            <v>66097</v>
          </cell>
          <cell r="C34" t="str">
            <v>MR.RAHUL SUDHAKARAN</v>
          </cell>
          <cell r="D34" t="str">
            <v>MR.RAHUL SUDHAKARAN</v>
          </cell>
          <cell r="E34" t="str">
            <v>Male</v>
          </cell>
          <cell r="F34">
            <v>45200</v>
          </cell>
          <cell r="G34">
            <v>45260</v>
          </cell>
          <cell r="H34">
            <v>45290</v>
          </cell>
          <cell r="I34">
            <v>45319</v>
          </cell>
          <cell r="J34" t="str">
            <v>2 ปี 7 เดือน 24 วัน</v>
          </cell>
          <cell r="K34" t="str">
            <v>ซ่อมบำรุง</v>
          </cell>
          <cell r="L34" t="str">
            <v>维修摸具
ช่างซ่อมแม่พิมพ์</v>
          </cell>
          <cell r="M34" t="str">
            <v>Equipment</v>
          </cell>
          <cell r="N34">
            <v>33939</v>
          </cell>
          <cell r="O34">
            <v>33</v>
          </cell>
          <cell r="P34" t="str">
            <v>098-592-5290</v>
          </cell>
          <cell r="Q34" t="str">
            <v>UO350072</v>
          </cell>
          <cell r="R34" t="str">
            <v>INDIAN</v>
          </cell>
          <cell r="S34" t="str">
            <v>印度</v>
          </cell>
          <cell r="T34" t="str">
            <v>ปริญญาตรี</v>
          </cell>
          <cell r="U34" t="str">
            <v>379/70 หมู่ที่ 1 ตำบลมะขามคู่ อำเภอนิคมพัฒนา จังหวัดระยอง</v>
          </cell>
          <cell r="V34" t="str">
            <v>379/70 หมู่ที่ 1 ตำบลมะขามคู่ อำเภอนิคมพัฒนา จังหวัดระยอง</v>
          </cell>
          <cell r="W34" t="str">
            <v>รายเดือน</v>
          </cell>
          <cell r="X34" t="str">
            <v>在职</v>
          </cell>
        </row>
        <row r="35">
          <cell r="B35">
            <v>66106</v>
          </cell>
          <cell r="C35" t="str">
            <v>นางสาวสุปรียา สนสร้อย</v>
          </cell>
          <cell r="D35" t="str">
            <v>MISS SUPRIYA  SOMSOL</v>
          </cell>
          <cell r="E35" t="str">
            <v>Female</v>
          </cell>
          <cell r="F35">
            <v>45227</v>
          </cell>
          <cell r="G35">
            <v>45287</v>
          </cell>
          <cell r="H35">
            <v>45317</v>
          </cell>
          <cell r="I35">
            <v>45346</v>
          </cell>
          <cell r="J35" t="str">
            <v>2 ปี 6 เดือน 27 วัน</v>
          </cell>
          <cell r="K35" t="str">
            <v>หลอมอลูมิเนียม</v>
          </cell>
          <cell r="L35" t="str">
            <v>压铸厂
ฝ่ายหลอมอลูมิเนียม+ขัดครีบ</v>
          </cell>
          <cell r="M35" t="str">
            <v>Die Casting</v>
          </cell>
          <cell r="N35">
            <v>36747</v>
          </cell>
          <cell r="O35">
            <v>25</v>
          </cell>
          <cell r="P35" t="str">
            <v>083-708-3561</v>
          </cell>
          <cell r="Q35" t="str">
            <v>1-3799-00132-38-1</v>
          </cell>
          <cell r="R35" t="str">
            <v>ไทย</v>
          </cell>
          <cell r="S35" t="str">
            <v>泰国</v>
          </cell>
          <cell r="T35" t="str">
            <v>ม.6</v>
          </cell>
          <cell r="U35" t="str">
            <v>143/4 ต.ดงมะยาง อ.ลืออำนาจ จ.อำนาจเจริญ</v>
          </cell>
          <cell r="V35" t="str">
            <v>699/4 ต.มาบยางพร อ.ปลวกแดง จ.ระยอง</v>
          </cell>
          <cell r="W35" t="str">
            <v>รายเดือน</v>
          </cell>
          <cell r="X35" t="str">
            <v>在职</v>
          </cell>
          <cell r="Y35" t="str">
            <v>ย้ายมาจาก H9 วันที่ 13-05-2026</v>
          </cell>
        </row>
        <row r="36">
          <cell r="B36">
            <v>66114</v>
          </cell>
          <cell r="C36" t="str">
            <v>นางสาวธนิศรา ภูกองทอง</v>
          </cell>
          <cell r="D36" t="str">
            <v>MS.THANITSARA PHOOKNGTHONG</v>
          </cell>
          <cell r="E36" t="str">
            <v>Female</v>
          </cell>
          <cell r="F36">
            <v>45231</v>
          </cell>
          <cell r="G36">
            <v>45291</v>
          </cell>
          <cell r="H36">
            <v>45321</v>
          </cell>
          <cell r="I36">
            <v>45350</v>
          </cell>
          <cell r="J36" t="str">
            <v>2 ปี 6 เดือน 24 วัน</v>
          </cell>
          <cell r="K36" t="str">
            <v>หลอมอลูมิเนียม</v>
          </cell>
          <cell r="L36" t="str">
            <v>压铸厂
ฝ่ายหลอมอลูมิเนียม+ขัดครีบ</v>
          </cell>
          <cell r="M36" t="str">
            <v>Die Casting</v>
          </cell>
          <cell r="N36">
            <v>33613</v>
          </cell>
          <cell r="O36">
            <v>34</v>
          </cell>
          <cell r="P36" t="str">
            <v>065-548-7585</v>
          </cell>
          <cell r="Q36" t="str">
            <v>1-1599-00165-43-5</v>
          </cell>
          <cell r="R36" t="str">
            <v>ไทย</v>
          </cell>
          <cell r="S36" t="str">
            <v>泰国</v>
          </cell>
          <cell r="T36" t="str">
            <v>ม.3</v>
          </cell>
          <cell r="U36" t="str">
            <v>7 หมู่ที่4 ต.อิตื้อ อ.ยางตลาด จ.กาฬสินธุ์</v>
          </cell>
          <cell r="V36" t="str">
            <v>620 ม.4 ต.พนานิคม อ.นิคมพัฒนา จ.ระยอง</v>
          </cell>
          <cell r="W36" t="str">
            <v>รายเดือน</v>
          </cell>
          <cell r="X36" t="str">
            <v>在职</v>
          </cell>
        </row>
        <row r="37">
          <cell r="B37">
            <v>66118</v>
          </cell>
          <cell r="C37" t="str">
            <v>นางสาวศุกร์กัญญา เนาวราช</v>
          </cell>
          <cell r="D37" t="str">
            <v>MISS SUKANYA  NAOWARAT</v>
          </cell>
          <cell r="E37" t="str">
            <v>Female</v>
          </cell>
          <cell r="F37">
            <v>45243</v>
          </cell>
          <cell r="G37">
            <v>45303</v>
          </cell>
          <cell r="H37">
            <v>45333</v>
          </cell>
          <cell r="I37">
            <v>45362</v>
          </cell>
          <cell r="J37" t="str">
            <v>2 ปี 6 เดือน 12 วัน</v>
          </cell>
          <cell r="K37" t="str">
            <v>คลังสินค้า</v>
          </cell>
          <cell r="L37" t="str">
            <v>挑选
เจ้าหน้าที่คัดงาน</v>
          </cell>
          <cell r="M37" t="str">
            <v>Warehouse</v>
          </cell>
          <cell r="N37">
            <v>36420</v>
          </cell>
          <cell r="O37">
            <v>26</v>
          </cell>
          <cell r="P37" t="str">
            <v>061-051-5271</v>
          </cell>
          <cell r="Q37" t="str">
            <v>1-3404-00233-92-0</v>
          </cell>
          <cell r="R37" t="str">
            <v>ไทย</v>
          </cell>
          <cell r="S37" t="str">
            <v>泰国</v>
          </cell>
          <cell r="T37" t="str">
            <v>ม.3</v>
          </cell>
          <cell r="U37" t="str">
            <v>60 หมู่ที่13 ต.สร้างถ่อ อ.เขื่องใน จ.อุบลราชธานี</v>
          </cell>
          <cell r="V37" t="str">
            <v>687/13 ซอย14 หมู่ที่4 ต.พนานิคม อ.นิคมพัฒนา จ.ระยอง</v>
          </cell>
          <cell r="W37" t="str">
            <v>รายเดือน</v>
          </cell>
          <cell r="X37" t="str">
            <v>在职</v>
          </cell>
        </row>
        <row r="38">
          <cell r="B38">
            <v>66119</v>
          </cell>
          <cell r="C38" t="str">
            <v>นายจตุพงษ์ วงษาสืบ</v>
          </cell>
          <cell r="D38" t="str">
            <v>MR.JATUPONG  WONGSASUEP</v>
          </cell>
          <cell r="E38" t="str">
            <v>Male</v>
          </cell>
          <cell r="F38">
            <v>45246</v>
          </cell>
          <cell r="G38">
            <v>45306</v>
          </cell>
          <cell r="H38">
            <v>45336</v>
          </cell>
          <cell r="I38">
            <v>45365</v>
          </cell>
          <cell r="J38" t="str">
            <v>2 ปี 6 เดือน 9 วัน</v>
          </cell>
          <cell r="K38" t="str">
            <v>Welding</v>
          </cell>
          <cell r="L38" t="str">
            <v>Roblox焊接操作工
เจ้าหน้าที่เชื่อมโรบอท</v>
          </cell>
          <cell r="M38" t="str">
            <v>Welding</v>
          </cell>
          <cell r="N38">
            <v>35800</v>
          </cell>
          <cell r="O38">
            <v>28</v>
          </cell>
          <cell r="P38" t="str">
            <v>096-640-3482</v>
          </cell>
          <cell r="Q38" t="str">
            <v>1-4407-00142-60-1</v>
          </cell>
          <cell r="R38" t="str">
            <v>ไทย</v>
          </cell>
          <cell r="S38" t="str">
            <v>泰国</v>
          </cell>
          <cell r="T38" t="str">
            <v>ม.6</v>
          </cell>
          <cell r="U38" t="str">
            <v>69/19 หมู่ที่19 ต.เขวาไร่ อ.นาเชือก จ.มหาสารคาม</v>
          </cell>
          <cell r="V38" t="str">
            <v>77/72 หมู่ที่3 ต.มาบยางพร อ.ปลวกแดง จ.ระยอง</v>
          </cell>
          <cell r="W38" t="str">
            <v>รายเดือน</v>
          </cell>
          <cell r="X38" t="str">
            <v>在职</v>
          </cell>
        </row>
        <row r="39">
          <cell r="B39">
            <v>67009</v>
          </cell>
          <cell r="C39" t="str">
            <v>นายกิตติวัฒน์ พันหล่อมโส</v>
          </cell>
          <cell r="D39" t="str">
            <v>MR.KITTIWAT PHANLOMSO</v>
          </cell>
          <cell r="E39" t="str">
            <v>Male</v>
          </cell>
          <cell r="F39">
            <v>45303</v>
          </cell>
          <cell r="G39">
            <v>45363</v>
          </cell>
          <cell r="H39">
            <v>45393</v>
          </cell>
          <cell r="I39">
            <v>45422</v>
          </cell>
          <cell r="J39" t="str">
            <v>2 ปี 4 เดือน 13 วัน</v>
          </cell>
          <cell r="K39" t="str">
            <v>ประกอบ</v>
          </cell>
          <cell r="L39" t="str">
            <v>组装H9
เจ้าหน้าที่ประกอบH9</v>
          </cell>
          <cell r="M39" t="str">
            <v>Assembly</v>
          </cell>
          <cell r="N39">
            <v>37599</v>
          </cell>
          <cell r="O39">
            <v>23</v>
          </cell>
          <cell r="P39" t="str">
            <v>098-470-0208</v>
          </cell>
          <cell r="Q39" t="str">
            <v>1-4492-00007-16-8</v>
          </cell>
          <cell r="R39" t="str">
            <v>ไทย</v>
          </cell>
          <cell r="S39" t="str">
            <v>泰国</v>
          </cell>
          <cell r="T39" t="str">
            <v>ม.3</v>
          </cell>
          <cell r="U39" t="str">
            <v>9 หมู่ที่4 ต.สันป่าตอง อ.นาเชือก จ.มหาสารคาม</v>
          </cell>
          <cell r="V39" t="str">
            <v>64/8 หมู่ที่4 ต.บึง อ.ศรีราชา จ.ชลบุรี</v>
          </cell>
          <cell r="W39" t="str">
            <v>รายเดือน</v>
          </cell>
          <cell r="X39" t="str">
            <v>在职</v>
          </cell>
        </row>
        <row r="40">
          <cell r="B40">
            <v>67012</v>
          </cell>
          <cell r="C40" t="str">
            <v>นายธีรนันท์ ทองโกย</v>
          </cell>
          <cell r="D40" t="str">
            <v>MR.THIRANAN  THONGKOI</v>
          </cell>
          <cell r="E40" t="str">
            <v>Male</v>
          </cell>
          <cell r="F40">
            <v>45303</v>
          </cell>
          <cell r="G40">
            <v>45363</v>
          </cell>
          <cell r="H40">
            <v>45393</v>
          </cell>
          <cell r="I40">
            <v>45422</v>
          </cell>
          <cell r="J40" t="str">
            <v>2 ปี 4 เดือน 13 วัน</v>
          </cell>
          <cell r="K40" t="str">
            <v>คลังสินค้า</v>
          </cell>
          <cell r="L40" t="str">
            <v>仓库管理员
เจ้าหน้าที่คลังสินค้า</v>
          </cell>
          <cell r="M40" t="str">
            <v>Warehouse</v>
          </cell>
          <cell r="N40">
            <v>35794</v>
          </cell>
          <cell r="O40">
            <v>28</v>
          </cell>
          <cell r="P40" t="str">
            <v>090-960-7000</v>
          </cell>
          <cell r="Q40" t="str">
            <v>1-3102-00143-01-3</v>
          </cell>
          <cell r="R40" t="str">
            <v>ไทย</v>
          </cell>
          <cell r="S40" t="str">
            <v>泰国</v>
          </cell>
          <cell r="T40" t="str">
            <v>ม.6</v>
          </cell>
          <cell r="U40" t="str">
            <v>98/2 หมู่ที่2 ต.เมืองแฟก อ.ลำปลายมาศ จ.บุรีรัมย์</v>
          </cell>
          <cell r="V40" t="str">
            <v>227 ม.6 ต.มาบยางพร อ.ปลวกแดง จ.ระยอง</v>
          </cell>
          <cell r="W40" t="str">
            <v>รายเดือน</v>
          </cell>
          <cell r="X40" t="str">
            <v>在职</v>
          </cell>
        </row>
        <row r="41">
          <cell r="B41">
            <v>67019</v>
          </cell>
          <cell r="C41" t="str">
            <v>นายธนกร บุญประเสริฐ</v>
          </cell>
          <cell r="D41" t="str">
            <v>MR.TANAKORN BUNPRASROET</v>
          </cell>
          <cell r="E41" t="str">
            <v>Male</v>
          </cell>
          <cell r="F41">
            <v>45316</v>
          </cell>
          <cell r="G41">
            <v>45376</v>
          </cell>
          <cell r="H41">
            <v>45406</v>
          </cell>
          <cell r="I41">
            <v>45435</v>
          </cell>
          <cell r="J41" t="str">
            <v>2 ปี 4 เดือน 0 วัน</v>
          </cell>
          <cell r="K41" t="str">
            <v>ประกอบ</v>
          </cell>
          <cell r="L41" t="str">
            <v>组装H9
เจ้าหน้าที่ประกอบH9</v>
          </cell>
          <cell r="M41" t="str">
            <v>Assembly</v>
          </cell>
          <cell r="N41">
            <v>36603</v>
          </cell>
          <cell r="O41">
            <v>26</v>
          </cell>
          <cell r="P41" t="str">
            <v>092-709-1502</v>
          </cell>
          <cell r="Q41" t="str">
            <v>1-1101-01252-02-9</v>
          </cell>
          <cell r="R41" t="str">
            <v>ไทย</v>
          </cell>
          <cell r="S41" t="str">
            <v>泰国</v>
          </cell>
          <cell r="T41" t="str">
            <v>ปวช.</v>
          </cell>
          <cell r="U41" t="str">
            <v>167 หมู่ที่ 2ต.สงยาง อ.มหาชนะชัย จ.ยโสธร</v>
          </cell>
          <cell r="V41" t="str">
            <v>89/224 ม.7 ต.บ่อวิน อ.ศรีราชา จ.ชลบุรี</v>
          </cell>
          <cell r="W41" t="str">
            <v>รายเดือน</v>
          </cell>
          <cell r="X41" t="str">
            <v>在职</v>
          </cell>
        </row>
        <row r="42">
          <cell r="B42">
            <v>67024</v>
          </cell>
          <cell r="C42" t="str">
            <v>นายพัชรพล ลุขำ</v>
          </cell>
          <cell r="D42" t="str">
            <v>MR.PATCHARAPON LUKHAM</v>
          </cell>
          <cell r="E42" t="str">
            <v>Male</v>
          </cell>
          <cell r="F42">
            <v>45317</v>
          </cell>
          <cell r="G42">
            <v>45377</v>
          </cell>
          <cell r="H42">
            <v>45407</v>
          </cell>
          <cell r="I42">
            <v>45436</v>
          </cell>
          <cell r="J42" t="str">
            <v>2 ปี 3 เดือน 29 วัน</v>
          </cell>
          <cell r="K42" t="str">
            <v>ประกอบ</v>
          </cell>
          <cell r="L42" t="str">
            <v>组装H9
เจ้าหน้าที่ประกอบH9</v>
          </cell>
          <cell r="M42" t="str">
            <v>Assembly</v>
          </cell>
          <cell r="N42">
            <v>36550</v>
          </cell>
          <cell r="O42">
            <v>26</v>
          </cell>
          <cell r="P42" t="str">
            <v>062-548-7513</v>
          </cell>
          <cell r="Q42" t="str">
            <v>1-3501-01565-55-6</v>
          </cell>
          <cell r="R42" t="str">
            <v>ไทย</v>
          </cell>
          <cell r="S42" t="str">
            <v>泰国</v>
          </cell>
          <cell r="T42" t="str">
            <v>ปวช.</v>
          </cell>
          <cell r="U42" t="str">
            <v>33 หมู่ที่2 ต.หัวเมือง อ.มหาชนะชัย จ.ยโสธร</v>
          </cell>
          <cell r="V42" t="str">
            <v>190/1-14 ต.มาบยางพร อ.ปลวกแดง จ.ระยอง</v>
          </cell>
          <cell r="W42" t="str">
            <v>รายเดือน</v>
          </cell>
          <cell r="X42" t="str">
            <v>在职</v>
          </cell>
        </row>
        <row r="43">
          <cell r="B43">
            <v>67025</v>
          </cell>
          <cell r="C43" t="str">
            <v>นายธนกฤต บุญประเสริฐ</v>
          </cell>
          <cell r="D43" t="str">
            <v>MR.TANAKRIT BUNPRASROET</v>
          </cell>
          <cell r="E43" t="str">
            <v>Male</v>
          </cell>
          <cell r="F43">
            <v>45317</v>
          </cell>
          <cell r="G43">
            <v>45377</v>
          </cell>
          <cell r="H43">
            <v>45407</v>
          </cell>
          <cell r="I43">
            <v>45436</v>
          </cell>
          <cell r="J43" t="str">
            <v>2 ปี 3 เดือน 29 วัน</v>
          </cell>
          <cell r="K43" t="str">
            <v>ประกอบ</v>
          </cell>
          <cell r="L43" t="str">
            <v>组装H9
เจ้าหน้าที่ประกอบH9</v>
          </cell>
          <cell r="M43" t="str">
            <v>Assembly</v>
          </cell>
          <cell r="N43">
            <v>36603</v>
          </cell>
          <cell r="O43">
            <v>26</v>
          </cell>
          <cell r="P43" t="str">
            <v>098-146-9431</v>
          </cell>
          <cell r="Q43" t="str">
            <v>1-1101-01252-01-1</v>
          </cell>
          <cell r="R43" t="str">
            <v>ไทย</v>
          </cell>
          <cell r="S43" t="str">
            <v>泰国</v>
          </cell>
          <cell r="T43" t="str">
            <v>ปวช.</v>
          </cell>
          <cell r="U43" t="str">
            <v>167 หมู่ที่ 2ต.สงยาง อ.มหาชนะชัย จ.ยโสธร</v>
          </cell>
          <cell r="V43" t="str">
            <v>89/224 ม.7 ต.บ่อวิน อ.ศรีราชา จ.ชลบุรี</v>
          </cell>
          <cell r="W43" t="str">
            <v>รายเดือน</v>
          </cell>
          <cell r="X43" t="str">
            <v>在职</v>
          </cell>
        </row>
        <row r="44">
          <cell r="B44">
            <v>67031</v>
          </cell>
          <cell r="C44" t="str">
            <v>นางสาวมินตรา อัคนิจ</v>
          </cell>
          <cell r="D44" t="str">
            <v>MISS MINTRA AKKANIJ</v>
          </cell>
          <cell r="E44" t="str">
            <v>Female</v>
          </cell>
          <cell r="F44">
            <v>45325</v>
          </cell>
          <cell r="G44">
            <v>45385</v>
          </cell>
          <cell r="H44">
            <v>45415</v>
          </cell>
          <cell r="I44">
            <v>45444</v>
          </cell>
          <cell r="J44" t="str">
            <v>2 ปี 3 เดือน 22 วัน</v>
          </cell>
          <cell r="K44" t="str">
            <v>ประกอบ</v>
          </cell>
          <cell r="L44" t="str">
            <v>组装H9
เจ้าหน้าที่ประกอบH9</v>
          </cell>
          <cell r="M44" t="str">
            <v>Assembly</v>
          </cell>
          <cell r="N44">
            <v>36785</v>
          </cell>
          <cell r="O44">
            <v>25</v>
          </cell>
          <cell r="P44" t="str">
            <v>093-467-6204</v>
          </cell>
          <cell r="Q44" t="str">
            <v>1-4712-01436-97-9</v>
          </cell>
          <cell r="R44" t="str">
            <v>ไทย</v>
          </cell>
          <cell r="S44" t="str">
            <v>泰国</v>
          </cell>
          <cell r="T44" t="str">
            <v>ม.3</v>
          </cell>
          <cell r="U44" t="str">
            <v>248 หมู่ที่4 ต.บ้านค้าย อ.สว่างแดนดิน จ.ยโสธร</v>
          </cell>
          <cell r="V44" t="str">
            <v>699 ม.4 ต.มาบยางพร อ.ปลวกแดง จ.ระยอง</v>
          </cell>
          <cell r="W44" t="str">
            <v>รายเดือน</v>
          </cell>
          <cell r="X44" t="str">
            <v>在职</v>
          </cell>
        </row>
        <row r="45">
          <cell r="B45">
            <v>67034</v>
          </cell>
          <cell r="C45" t="str">
            <v>นางสาวอวยพร ภูทัด</v>
          </cell>
          <cell r="D45" t="str">
            <v>MRS.OUAIPORN PHOOTAD</v>
          </cell>
          <cell r="E45" t="str">
            <v>Female</v>
          </cell>
          <cell r="F45">
            <v>45327</v>
          </cell>
          <cell r="G45">
            <v>45387</v>
          </cell>
          <cell r="H45">
            <v>45417</v>
          </cell>
          <cell r="I45">
            <v>45446</v>
          </cell>
          <cell r="J45" t="str">
            <v>2 ปี 3 เดือน 20 วัน</v>
          </cell>
          <cell r="K45" t="str">
            <v>HR &amp; Administration</v>
          </cell>
          <cell r="L45" t="str">
            <v>Maid</v>
          </cell>
          <cell r="M45" t="str">
            <v>HR &amp; Administration</v>
          </cell>
          <cell r="N45">
            <v>29868</v>
          </cell>
          <cell r="O45">
            <v>44</v>
          </cell>
          <cell r="P45" t="str">
            <v>061-620-7597</v>
          </cell>
          <cell r="Q45" t="str">
            <v>3-4119-00841-10-1</v>
          </cell>
          <cell r="R45" t="str">
            <v>ไทย</v>
          </cell>
          <cell r="S45" t="str">
            <v>泰国</v>
          </cell>
          <cell r="T45" t="str">
            <v>ป.6</v>
          </cell>
          <cell r="U45" t="str">
            <v>197/4 หมู่ที่4 ต.สมสนุก อ.ปากคาด จ.บึงกาฬ</v>
          </cell>
          <cell r="V45" t="str">
            <v>ป้าสไหว</v>
          </cell>
          <cell r="W45" t="str">
            <v>รายเดือน</v>
          </cell>
          <cell r="X45" t="str">
            <v>在职</v>
          </cell>
        </row>
        <row r="46">
          <cell r="B46">
            <v>67046</v>
          </cell>
          <cell r="C46" t="str">
            <v>นายเกียรติศักดิ์ จุปะมะโน</v>
          </cell>
          <cell r="D46" t="str">
            <v>MR.KIADTISAK CHUPAMANO</v>
          </cell>
          <cell r="E46" t="str">
            <v>Male</v>
          </cell>
          <cell r="F46">
            <v>45329</v>
          </cell>
          <cell r="G46">
            <v>45389</v>
          </cell>
          <cell r="H46">
            <v>45419</v>
          </cell>
          <cell r="I46">
            <v>45448</v>
          </cell>
          <cell r="J46" t="str">
            <v>2 ปี 3 เดือน 18 วัน</v>
          </cell>
          <cell r="K46" t="str">
            <v>Welding</v>
          </cell>
          <cell r="L46" t="str">
            <v>Roblox焊接操作工
เจ้าหน้าที่เชื่อมโรบอท</v>
          </cell>
          <cell r="M46" t="str">
            <v>Welding</v>
          </cell>
          <cell r="N46">
            <v>36468</v>
          </cell>
          <cell r="O46">
            <v>26</v>
          </cell>
          <cell r="P46" t="str">
            <v>062-138-6200</v>
          </cell>
          <cell r="Q46" t="str">
            <v>1-4499-00554-35-8</v>
          </cell>
          <cell r="R46" t="str">
            <v>ไทย</v>
          </cell>
          <cell r="S46" t="str">
            <v>泰国</v>
          </cell>
          <cell r="T46" t="str">
            <v>ปวช.</v>
          </cell>
          <cell r="U46" t="str">
            <v>47 หมู่ที่ 7 ต.บัวมาศ อ.บรบือ จ.มหาสารคาม</v>
          </cell>
          <cell r="V46" t="str">
            <v>2/138 หมูที่ 2 ต.มะขามคู่ อ.นิคมพัฒนา จ.ระยอง</v>
          </cell>
          <cell r="W46" t="str">
            <v>รายเดือน</v>
          </cell>
          <cell r="X46" t="str">
            <v>在职</v>
          </cell>
        </row>
        <row r="47">
          <cell r="B47">
            <v>67065</v>
          </cell>
          <cell r="C47" t="str">
            <v>นายอุทิส สายศรี</v>
          </cell>
          <cell r="D47" t="str">
            <v>MR.AUTHIT SAISRI</v>
          </cell>
          <cell r="E47" t="str">
            <v>Male</v>
          </cell>
          <cell r="F47">
            <v>45348</v>
          </cell>
          <cell r="G47">
            <v>45408</v>
          </cell>
          <cell r="H47">
            <v>45438</v>
          </cell>
          <cell r="I47">
            <v>45467</v>
          </cell>
          <cell r="J47" t="str">
            <v>2 ปี 2 เดือน 29 วัน</v>
          </cell>
          <cell r="K47" t="str">
            <v>คลังสินค้า</v>
          </cell>
          <cell r="L47" t="str">
            <v>仓库管理员
คลังสินค้า (ขับโฟร์คลิฟท์)</v>
          </cell>
          <cell r="M47" t="str">
            <v>Warehouse</v>
          </cell>
          <cell r="N47">
            <v>36704</v>
          </cell>
          <cell r="O47">
            <v>25</v>
          </cell>
          <cell r="P47" t="str">
            <v>063-906-5923</v>
          </cell>
          <cell r="Q47" t="str">
            <v>1-3501-01581-36-5</v>
          </cell>
          <cell r="R47" t="str">
            <v>ไทย</v>
          </cell>
          <cell r="S47" t="str">
            <v>泰国</v>
          </cell>
          <cell r="T47" t="str">
            <v>ม.6</v>
          </cell>
          <cell r="U47" t="str">
            <v>76 หมู่ที่1 ต.เดิด อ.เมืองยโสธร จ.ยโสธร</v>
          </cell>
          <cell r="V47" t="str">
            <v>187/138 ต.นิคมพัฒนา อ.นิคมพัฒนา จ.ระยอง</v>
          </cell>
          <cell r="W47" t="str">
            <v>รายเดือน</v>
          </cell>
          <cell r="X47" t="str">
            <v>在职</v>
          </cell>
        </row>
        <row r="48">
          <cell r="B48">
            <v>67071</v>
          </cell>
          <cell r="C48" t="str">
            <v>นางสาวจันทิมา อ้นเกตุ</v>
          </cell>
          <cell r="D48" t="str">
            <v>MISS. JANTIMA ONKET</v>
          </cell>
          <cell r="E48" t="str">
            <v>Female</v>
          </cell>
          <cell r="F48">
            <v>45362</v>
          </cell>
          <cell r="G48">
            <v>45422</v>
          </cell>
          <cell r="H48">
            <v>45452</v>
          </cell>
          <cell r="I48">
            <v>45481</v>
          </cell>
          <cell r="J48" t="str">
            <v>2 ปี 2 เดือน 14 วัน</v>
          </cell>
          <cell r="K48" t="str">
            <v>SAFETY OFFICE</v>
          </cell>
          <cell r="L48" t="str">
            <v>安环 SAFETY OFFICE</v>
          </cell>
          <cell r="M48" t="str">
            <v>Safety and environment</v>
          </cell>
          <cell r="N48">
            <v>35597</v>
          </cell>
          <cell r="O48">
            <v>28</v>
          </cell>
          <cell r="P48" t="str">
            <v>096-770-5798</v>
          </cell>
          <cell r="Q48" t="str">
            <v>1-6399-00269-37-6</v>
          </cell>
          <cell r="R48" t="str">
            <v>ไทย</v>
          </cell>
          <cell r="S48" t="str">
            <v>泰国</v>
          </cell>
          <cell r="T48" t="str">
            <v>ปริญญาตรี</v>
          </cell>
          <cell r="U48" t="str">
            <v>560/83 ม.3 ต.หนองขาม อ.ศรีราชา จ.ชลบุรี</v>
          </cell>
          <cell r="V48" t="str">
            <v>575/27 ม.4 ซอย 14  ต.พนานิคม  อ.นิคมพัฒนา  จ.ระยอง</v>
          </cell>
          <cell r="W48" t="str">
            <v>รายเดือน</v>
          </cell>
          <cell r="X48" t="str">
            <v>在职</v>
          </cell>
        </row>
        <row r="49">
          <cell r="B49">
            <v>67074</v>
          </cell>
          <cell r="C49" t="str">
            <v>นายพิเชษฐ์ วรรณวงศ์</v>
          </cell>
          <cell r="D49" t="str">
            <v>MR.PICHET WANNAWONG</v>
          </cell>
          <cell r="E49" t="str">
            <v>Male</v>
          </cell>
          <cell r="F49">
            <v>45369</v>
          </cell>
          <cell r="G49">
            <v>45429</v>
          </cell>
          <cell r="H49">
            <v>45459</v>
          </cell>
          <cell r="I49">
            <v>45488</v>
          </cell>
          <cell r="J49" t="str">
            <v>2 ปี 2 เดือน 7 วัน</v>
          </cell>
          <cell r="K49" t="str">
            <v>ตรวจสอบคุณภาพ</v>
          </cell>
          <cell r="L49" t="str">
            <v>TECHNICAL QUALITY QC</v>
          </cell>
          <cell r="M49" t="str">
            <v>Quality</v>
          </cell>
          <cell r="N49">
            <v>26957</v>
          </cell>
          <cell r="O49">
            <v>52</v>
          </cell>
          <cell r="P49" t="str">
            <v>094-486-9245</v>
          </cell>
          <cell r="Q49" t="str">
            <v>3-1009-01603-10-8</v>
          </cell>
          <cell r="R49" t="str">
            <v>ไทย</v>
          </cell>
          <cell r="S49" t="str">
            <v>泰国</v>
          </cell>
          <cell r="T49" t="str">
            <v>ปวส.</v>
          </cell>
          <cell r="U49" t="str">
            <v>968/33 หมู่ที่6 ต.แพรกษา อ.เมือง จ.สมุทรปราการ</v>
          </cell>
          <cell r="V49" t="str">
            <v>968/33 หมู่ที่6 ต.แพรกษา อ.เมือง จ.สมุทรปราการ</v>
          </cell>
          <cell r="W49" t="str">
            <v>รายเดือน</v>
          </cell>
          <cell r="X49" t="str">
            <v>在职</v>
          </cell>
        </row>
        <row r="50">
          <cell r="B50">
            <v>67083</v>
          </cell>
          <cell r="C50" t="str">
            <v>นางสาวอมรพรรณ สวดสม</v>
          </cell>
          <cell r="D50" t="str">
            <v>MISS AMORNPAN SUADSOM</v>
          </cell>
          <cell r="E50" t="str">
            <v>Female</v>
          </cell>
          <cell r="F50">
            <v>45411</v>
          </cell>
          <cell r="G50">
            <v>45471</v>
          </cell>
          <cell r="H50">
            <v>45501</v>
          </cell>
          <cell r="I50">
            <v>45530</v>
          </cell>
          <cell r="J50" t="str">
            <v>2 ปี 0 เดือน 26 วัน</v>
          </cell>
          <cell r="K50" t="str">
            <v>ประกอบ</v>
          </cell>
          <cell r="L50" t="str">
            <v>套扣操作工
เจ้าหน้าที่ต๊าปเกลียว</v>
          </cell>
          <cell r="M50" t="str">
            <v>Taping</v>
          </cell>
          <cell r="N50">
            <v>34814</v>
          </cell>
          <cell r="O50">
            <v>31</v>
          </cell>
          <cell r="P50" t="str">
            <v>098-198-9508</v>
          </cell>
          <cell r="Q50" t="str">
            <v>1-3904-00025-24-3</v>
          </cell>
          <cell r="R50" t="str">
            <v>Thai</v>
          </cell>
          <cell r="S50" t="str">
            <v>泰国</v>
          </cell>
          <cell r="T50" t="str">
            <v>ม.3</v>
          </cell>
          <cell r="U50" t="str">
            <v>103 หมู่ที่1 ต.ทรายทอง อ.ศรีบุญเรือง จ.หนองบัวลำพูน</v>
          </cell>
          <cell r="V50" t="str">
            <v>103 หมู่ที่1 ต.ทรายทอง อ.ศรีบุญเรือง จ.หนองบัวลำพูน</v>
          </cell>
          <cell r="W50" t="str">
            <v>รายเดือน</v>
          </cell>
          <cell r="X50" t="str">
            <v>在职</v>
          </cell>
        </row>
        <row r="51">
          <cell r="B51">
            <v>67087</v>
          </cell>
          <cell r="C51" t="str">
            <v>นางสาวอรจิรา กมล</v>
          </cell>
          <cell r="D51" t="str">
            <v>MISS ONCHIRA KAMON</v>
          </cell>
          <cell r="E51" t="str">
            <v>Female</v>
          </cell>
          <cell r="F51">
            <v>45418</v>
          </cell>
          <cell r="G51">
            <v>45478</v>
          </cell>
          <cell r="H51">
            <v>45508</v>
          </cell>
          <cell r="I51">
            <v>45537</v>
          </cell>
          <cell r="J51" t="str">
            <v>2 ปี 0 เดือน 19 วัน</v>
          </cell>
          <cell r="K51" t="str">
            <v>คลังสินค้า</v>
          </cell>
          <cell r="L51" t="str">
            <v>挑选
เจ้าหน้าที่คัดงาน</v>
          </cell>
          <cell r="M51" t="str">
            <v>Warehouse</v>
          </cell>
          <cell r="N51">
            <v>38594</v>
          </cell>
          <cell r="O51">
            <v>20</v>
          </cell>
          <cell r="P51" t="str">
            <v>065-613-0946</v>
          </cell>
          <cell r="Q51" t="str">
            <v>1-3501-01758-94-0</v>
          </cell>
          <cell r="R51" t="str">
            <v>Thai</v>
          </cell>
          <cell r="S51" t="str">
            <v>泰国</v>
          </cell>
          <cell r="T51" t="str">
            <v>ม.6</v>
          </cell>
          <cell r="U51" t="str">
            <v>10/1 ต.เดิด อ.เมือง จ.ยโสธร</v>
          </cell>
          <cell r="V51" t="str">
            <v>10/1 ต.เดิด อ.เมือง จ.ยโสธร</v>
          </cell>
          <cell r="W51" t="str">
            <v>รายเดือน</v>
          </cell>
          <cell r="X51" t="str">
            <v>在职</v>
          </cell>
        </row>
        <row r="52">
          <cell r="B52">
            <v>67093</v>
          </cell>
          <cell r="C52" t="str">
            <v>นางสาวกัลยา แซ่ม้า</v>
          </cell>
          <cell r="D52" t="str">
            <v>MISS KANLAYA  SEAMA</v>
          </cell>
          <cell r="E52" t="str">
            <v>Female</v>
          </cell>
          <cell r="F52">
            <v>45426</v>
          </cell>
          <cell r="G52">
            <v>45486</v>
          </cell>
          <cell r="H52">
            <v>45516</v>
          </cell>
          <cell r="I52">
            <v>45545</v>
          </cell>
          <cell r="J52" t="str">
            <v>2 ปี 0 เดือน 11 วัน</v>
          </cell>
          <cell r="K52" t="str">
            <v>คลังสินค้า</v>
          </cell>
          <cell r="L52" t="str">
            <v>挑选
เจ้าหน้าที่คัดงาน</v>
          </cell>
          <cell r="M52" t="str">
            <v>Warehouse</v>
          </cell>
          <cell r="N52">
            <v>37964</v>
          </cell>
          <cell r="O52">
            <v>22</v>
          </cell>
          <cell r="P52" t="str">
            <v>093-580-1781</v>
          </cell>
          <cell r="Q52" t="str">
            <v>1-6398-00310-84-6</v>
          </cell>
          <cell r="R52" t="str">
            <v>Thai</v>
          </cell>
          <cell r="S52" t="str">
            <v>泰国</v>
          </cell>
          <cell r="T52" t="str">
            <v>ม.6</v>
          </cell>
          <cell r="U52" t="str">
            <v>256 หมู่ที่ 7 ต.มหาวัง อ.แม่สอด จ.ตาก</v>
          </cell>
          <cell r="V52" t="str">
            <v>375/28 ต.มะขามคู่ อ.นิคมพัฒนา จ.ระยอง</v>
          </cell>
          <cell r="W52" t="str">
            <v>รายวัน</v>
          </cell>
          <cell r="X52" t="str">
            <v>在职</v>
          </cell>
        </row>
        <row r="53">
          <cell r="B53">
            <v>67094</v>
          </cell>
          <cell r="C53" t="str">
            <v>นางสาวอรุณธิดา ศรีชมภู</v>
          </cell>
          <cell r="D53" t="str">
            <v>MISS ARUNTIDI  SRICHOMPOO</v>
          </cell>
          <cell r="E53" t="str">
            <v>Female</v>
          </cell>
          <cell r="F53">
            <v>45426</v>
          </cell>
          <cell r="G53">
            <v>45486</v>
          </cell>
          <cell r="H53">
            <v>45516</v>
          </cell>
          <cell r="I53">
            <v>45545</v>
          </cell>
          <cell r="J53" t="str">
            <v>2 ปี 0 เดือน 11 วัน</v>
          </cell>
          <cell r="K53" t="str">
            <v>ตรวจสอบคุณภาพ</v>
          </cell>
          <cell r="L53" t="str">
            <v>检验员QC
เจ้าหน้าที่ QC</v>
          </cell>
          <cell r="M53" t="str">
            <v>Quality</v>
          </cell>
          <cell r="N53">
            <v>37919</v>
          </cell>
          <cell r="O53">
            <v>22</v>
          </cell>
          <cell r="P53" t="str">
            <v>095-370-5563</v>
          </cell>
          <cell r="Q53" t="str">
            <v>1-3489-00069-91-3</v>
          </cell>
          <cell r="R53" t="str">
            <v>ไทย</v>
          </cell>
          <cell r="S53" t="str">
            <v>泰国</v>
          </cell>
          <cell r="T53" t="str">
            <v>ม.6</v>
          </cell>
          <cell r="U53" t="str">
            <v>102/1 หทู่ที่ 1 ต.นาเจริญ อ.เดชอุดม จ.อุบลราชธานี</v>
          </cell>
          <cell r="V53" t="str">
            <v>158/7 หมู่ 2 ต.มะขามคู่ อ.นิคมพัฒนา จ.ระยอง</v>
          </cell>
          <cell r="W53" t="str">
            <v>รายเดือน</v>
          </cell>
          <cell r="X53" t="str">
            <v>在职</v>
          </cell>
        </row>
        <row r="54">
          <cell r="B54">
            <v>67096</v>
          </cell>
          <cell r="C54" t="str">
            <v>นางสาวดวงกมล นันทะกุล</v>
          </cell>
          <cell r="D54" t="str">
            <v>MISS DUANGKAMON NANTHAKUN</v>
          </cell>
          <cell r="E54" t="str">
            <v>Female</v>
          </cell>
          <cell r="F54">
            <v>45426</v>
          </cell>
          <cell r="G54">
            <v>45486</v>
          </cell>
          <cell r="H54">
            <v>45516</v>
          </cell>
          <cell r="I54">
            <v>45545</v>
          </cell>
          <cell r="J54" t="str">
            <v>2 ปี 0 เดือน 11 วัน</v>
          </cell>
          <cell r="K54" t="str">
            <v>ประกอบ</v>
          </cell>
          <cell r="L54" t="str">
            <v>套扣操作工
เจ้าหน้าที่ต๊าปเกลียว</v>
          </cell>
          <cell r="M54" t="str">
            <v>Taping</v>
          </cell>
          <cell r="N54">
            <v>35723</v>
          </cell>
          <cell r="O54">
            <v>28</v>
          </cell>
          <cell r="P54" t="str">
            <v>063-770-6200</v>
          </cell>
          <cell r="Q54" t="str">
            <v>1-4118-00206-56-3</v>
          </cell>
          <cell r="R54" t="str">
            <v>Thai</v>
          </cell>
          <cell r="S54" t="str">
            <v>泰国</v>
          </cell>
          <cell r="T54" t="str">
            <v>ม.6</v>
          </cell>
          <cell r="U54" t="str">
            <v>138 หมู่ที่ 4 ต.นาแค อ.นายูง จ.อุดรธานี</v>
          </cell>
          <cell r="V54" t="str">
            <v>92/1 หมู่ 3 ซ.มาบยางพร 22 ต.มาบยางพร อ.ปลวกแดง จ.ระยอง</v>
          </cell>
          <cell r="W54" t="str">
            <v>รายเดือน</v>
          </cell>
          <cell r="X54" t="str">
            <v>在职</v>
          </cell>
        </row>
        <row r="55">
          <cell r="B55">
            <v>67101</v>
          </cell>
          <cell r="C55" t="str">
            <v>นางสาวขวัญหทัย ช่วยศิริ</v>
          </cell>
          <cell r="D55" t="str">
            <v>MISS KWANHATAI  CHUASIRI</v>
          </cell>
          <cell r="E55" t="str">
            <v>Female</v>
          </cell>
          <cell r="F55">
            <v>45426</v>
          </cell>
          <cell r="G55">
            <v>45486</v>
          </cell>
          <cell r="H55">
            <v>45516</v>
          </cell>
          <cell r="I55">
            <v>45545</v>
          </cell>
          <cell r="J55" t="str">
            <v>2 ปี 0 เดือน 11 วัน</v>
          </cell>
          <cell r="K55" t="str">
            <v>ประกอบ</v>
          </cell>
          <cell r="L55" t="str">
            <v>组装H9
เจ้าหน้าที่ประกอบH9</v>
          </cell>
          <cell r="M55" t="str">
            <v>Assembly</v>
          </cell>
          <cell r="N55">
            <v>33833</v>
          </cell>
          <cell r="O55">
            <v>33</v>
          </cell>
          <cell r="P55" t="str">
            <v>080-816-0370</v>
          </cell>
          <cell r="Q55" t="str">
            <v>1-4109-00093-80-8</v>
          </cell>
          <cell r="R55" t="str">
            <v>Thai</v>
          </cell>
          <cell r="S55" t="str">
            <v>泰国</v>
          </cell>
          <cell r="T55" t="str">
            <v>ม.3</v>
          </cell>
          <cell r="U55" t="str">
            <v>120 หมู่ที่ 8 ต.กุดปลาดุก อ.ชื่อชม จ.มหาสารคาม</v>
          </cell>
          <cell r="V55" t="str">
            <v>159 หมู่ที่ 6 ต.มาบยางพร อ.ปลวกแดง จ.ระยอง</v>
          </cell>
          <cell r="W55" t="str">
            <v>รายวัน</v>
          </cell>
          <cell r="X55" t="str">
            <v>在职</v>
          </cell>
        </row>
        <row r="56">
          <cell r="B56">
            <v>67104</v>
          </cell>
          <cell r="C56" t="str">
            <v>นายบุพกร ดวงจันทร์</v>
          </cell>
          <cell r="D56" t="str">
            <v>MR.BUPHAKORN  DUANGCHAN</v>
          </cell>
          <cell r="E56" t="str">
            <v>Male</v>
          </cell>
          <cell r="F56">
            <v>45427</v>
          </cell>
          <cell r="G56">
            <v>45487</v>
          </cell>
          <cell r="H56">
            <v>45517</v>
          </cell>
          <cell r="I56">
            <v>45546</v>
          </cell>
          <cell r="J56" t="str">
            <v>2 ปี 0 เดือน 10 วัน</v>
          </cell>
          <cell r="K56" t="str">
            <v>ประกอบ</v>
          </cell>
          <cell r="L56" t="str">
            <v>组装H9
เจ้าหน้าที่ประกอบH9</v>
          </cell>
          <cell r="M56" t="str">
            <v>Assembly</v>
          </cell>
          <cell r="N56">
            <v>37110</v>
          </cell>
          <cell r="O56">
            <v>24</v>
          </cell>
          <cell r="P56" t="str">
            <v>065-662-1711</v>
          </cell>
          <cell r="Q56" t="str">
            <v>1-2704-00096-60-5</v>
          </cell>
          <cell r="R56" t="str">
            <v>ไทย</v>
          </cell>
          <cell r="S56" t="str">
            <v>泰国</v>
          </cell>
          <cell r="T56" t="str">
            <v>ปวส.</v>
          </cell>
          <cell r="U56" t="str">
            <v>29 หมู่ที่ 2 ต.ตาหลังใน อ.วังน้ำเย็น จ.สระแก้ว</v>
          </cell>
          <cell r="V56" t="str">
            <v>143/2 ซ.มาบยางพร 18 ต.มาบยางพร อ.ปลวกแดง จ.ระยอง</v>
          </cell>
          <cell r="W56" t="str">
            <v>รายเดือน</v>
          </cell>
          <cell r="X56" t="str">
            <v>在职</v>
          </cell>
        </row>
        <row r="57">
          <cell r="B57">
            <v>67106</v>
          </cell>
          <cell r="C57" t="str">
            <v>นายจักรกฤษ แก้วกาเหรียญ</v>
          </cell>
          <cell r="D57" t="str">
            <v>MR.CHAKRK  KAEOKARIAY</v>
          </cell>
          <cell r="E57" t="str">
            <v>Male</v>
          </cell>
          <cell r="F57">
            <v>45427</v>
          </cell>
          <cell r="G57">
            <v>45487</v>
          </cell>
          <cell r="H57">
            <v>45517</v>
          </cell>
          <cell r="I57">
            <v>45546</v>
          </cell>
          <cell r="J57" t="str">
            <v>2 ปี 0 เดือน 10 วัน</v>
          </cell>
          <cell r="K57" t="str">
            <v>ประกอบ</v>
          </cell>
          <cell r="L57" t="str">
            <v>组装H9
เจ้าหน้าที่ประกอบH9</v>
          </cell>
          <cell r="M57" t="str">
            <v>Assembly</v>
          </cell>
          <cell r="N57">
            <v>35551</v>
          </cell>
          <cell r="O57">
            <v>29</v>
          </cell>
          <cell r="P57" t="str">
            <v>064-651-7086</v>
          </cell>
          <cell r="Q57" t="str">
            <v>1-3214-00005-79-1</v>
          </cell>
          <cell r="R57" t="str">
            <v>ไทย</v>
          </cell>
          <cell r="S57" t="str">
            <v>泰国</v>
          </cell>
          <cell r="T57" t="str">
            <v>ม.3</v>
          </cell>
          <cell r="U57" t="str">
            <v>3 หมู่ที่ 8 ต.โคกกลาง อ.พนมดงรัก จ.สุรินทร์</v>
          </cell>
          <cell r="V57" t="str">
            <v>159 หมู่6 ต.มาบยางพร อ.ปลวกแดง จ.ระยอง</v>
          </cell>
          <cell r="W57" t="str">
            <v>รายเดือน</v>
          </cell>
          <cell r="X57" t="str">
            <v>在职</v>
          </cell>
        </row>
        <row r="58">
          <cell r="B58">
            <v>67108</v>
          </cell>
          <cell r="C58" t="str">
            <v>นางสาวสุดารัตน์ จะยอ</v>
          </cell>
          <cell r="D58" t="str">
            <v>MISS SUDARAT  JAYOR</v>
          </cell>
          <cell r="E58" t="str">
            <v>Female</v>
          </cell>
          <cell r="F58">
            <v>45427</v>
          </cell>
          <cell r="G58">
            <v>45487</v>
          </cell>
          <cell r="H58">
            <v>45517</v>
          </cell>
          <cell r="I58">
            <v>45546</v>
          </cell>
          <cell r="J58" t="str">
            <v>2 ปี 0 เดือน 10 วัน</v>
          </cell>
          <cell r="K58" t="str">
            <v>ประกอบ</v>
          </cell>
          <cell r="L58" t="str">
            <v>组装H9
เจ้าหน้าที่ประกอบH9</v>
          </cell>
          <cell r="M58" t="str">
            <v>Assembly</v>
          </cell>
          <cell r="N58">
            <v>38636</v>
          </cell>
          <cell r="O58">
            <v>20</v>
          </cell>
          <cell r="P58" t="str">
            <v>091-853-6600</v>
          </cell>
          <cell r="Q58" t="str">
            <v>1-3199-01052-77-2</v>
          </cell>
          <cell r="R58" t="str">
            <v>ไทย</v>
          </cell>
          <cell r="S58" t="str">
            <v>泰国</v>
          </cell>
          <cell r="T58" t="str">
            <v>ม.6</v>
          </cell>
          <cell r="U58" t="str">
            <v>98 หมู่ที่ 6 ต.ช่องแมว อ.ลำทะเมนชัย จ.นครราชสีมา</v>
          </cell>
          <cell r="V58" t="str">
            <v>23/5 หมู่ 5 ต.มะขามคู่ อ.นิคมพัฒนา จ.ระยอง</v>
          </cell>
          <cell r="W58" t="str">
            <v>รายเดือน</v>
          </cell>
          <cell r="X58" t="str">
            <v>在职</v>
          </cell>
        </row>
        <row r="59">
          <cell r="B59">
            <v>67111</v>
          </cell>
          <cell r="C59" t="str">
            <v>นายชนาธิป พิมพ์แสง</v>
          </cell>
          <cell r="D59" t="str">
            <v>MR.CHANATHIP  PIMSANG</v>
          </cell>
          <cell r="E59" t="str">
            <v>Male</v>
          </cell>
          <cell r="F59">
            <v>45428</v>
          </cell>
          <cell r="G59">
            <v>45488</v>
          </cell>
          <cell r="H59">
            <v>45518</v>
          </cell>
          <cell r="I59">
            <v>45547</v>
          </cell>
          <cell r="J59" t="str">
            <v>2 ปี 0 เดือน 9 วัน</v>
          </cell>
          <cell r="K59" t="str">
            <v>ประกอบ</v>
          </cell>
          <cell r="L59" t="str">
            <v>组装H9
เจ้าหน้าที่ประกอบH9</v>
          </cell>
          <cell r="M59" t="str">
            <v>Assembly</v>
          </cell>
          <cell r="N59">
            <v>37131</v>
          </cell>
          <cell r="O59">
            <v>24</v>
          </cell>
          <cell r="P59" t="str">
            <v>096-412-1807</v>
          </cell>
          <cell r="Q59" t="str">
            <v>1-4082-00004-35-4</v>
          </cell>
          <cell r="R59" t="str">
            <v>ไทย</v>
          </cell>
          <cell r="S59" t="str">
            <v>泰国</v>
          </cell>
          <cell r="T59" t="str">
            <v>ปวส.</v>
          </cell>
          <cell r="U59" t="str">
            <v>37 หมู่ที่ 13 ต.ดงมูล อ.หนองกุงศรี จ.กาฬสินธุ์</v>
          </cell>
          <cell r="V59" t="str">
            <v>197/4 ต.มาบยางพร อ.ปลวกแดง จ.ระยอง</v>
          </cell>
          <cell r="W59" t="str">
            <v>รายเดือน</v>
          </cell>
          <cell r="X59" t="str">
            <v>在职</v>
          </cell>
        </row>
        <row r="60">
          <cell r="B60">
            <v>67117</v>
          </cell>
          <cell r="C60" t="str">
            <v>นายธนวัฒน์ นาเย</v>
          </cell>
          <cell r="D60" t="str">
            <v>MR.THANAWAT  NAYE</v>
          </cell>
          <cell r="E60" t="str">
            <v>Male</v>
          </cell>
          <cell r="F60">
            <v>45432</v>
          </cell>
          <cell r="G60">
            <v>45492</v>
          </cell>
          <cell r="H60">
            <v>45522</v>
          </cell>
          <cell r="I60">
            <v>45551</v>
          </cell>
          <cell r="J60" t="str">
            <v>2 ปี 0 เดือน 5 วัน</v>
          </cell>
          <cell r="K60" t="str">
            <v>คลังสินค้า</v>
          </cell>
          <cell r="L60" t="str">
            <v>仓库管理员
เจ้าหน้าที่คลังสินค้า</v>
          </cell>
          <cell r="M60" t="str">
            <v>Warehouse</v>
          </cell>
          <cell r="N60">
            <v>37762</v>
          </cell>
          <cell r="O60">
            <v>23</v>
          </cell>
          <cell r="P60" t="str">
            <v>083-603-4858</v>
          </cell>
          <cell r="Q60" t="str">
            <v>1-5710-01146-74-7</v>
          </cell>
          <cell r="R60" t="str">
            <v>ไทย</v>
          </cell>
          <cell r="S60" t="str">
            <v>泰国</v>
          </cell>
          <cell r="T60" t="str">
            <v>ม.3</v>
          </cell>
          <cell r="U60" t="str">
            <v>165 หมู่ที่ 12 ต.วาวี อ.แม่สรวย จ.เชียงราย</v>
          </cell>
          <cell r="V60" t="str">
            <v>113/5 ม.2 ต.มะขามคู่ อ. นิคมพัฒนา จ.ระยอง</v>
          </cell>
          <cell r="W60" t="str">
            <v>รายเดือน</v>
          </cell>
          <cell r="X60" t="str">
            <v>在职</v>
          </cell>
        </row>
        <row r="61">
          <cell r="B61">
            <v>67124</v>
          </cell>
          <cell r="C61" t="str">
            <v>นายสาธิต จรดเมฆ</v>
          </cell>
          <cell r="D61" t="str">
            <v>MR.SATIT  JARODMEK</v>
          </cell>
          <cell r="E61" t="str">
            <v>Male</v>
          </cell>
          <cell r="F61">
            <v>45441</v>
          </cell>
          <cell r="G61">
            <v>45501</v>
          </cell>
          <cell r="H61">
            <v>45531</v>
          </cell>
          <cell r="I61">
            <v>45560</v>
          </cell>
          <cell r="J61" t="str">
            <v>1 ปี 11 เดือน 26 วัน</v>
          </cell>
          <cell r="K61" t="str">
            <v>ประกอบ</v>
          </cell>
          <cell r="L61" t="str">
            <v>组装H9
เจ้าหน้าที่ประกอบH9</v>
          </cell>
          <cell r="M61" t="str">
            <v>Assembly</v>
          </cell>
          <cell r="N61">
            <v>37701</v>
          </cell>
          <cell r="O61">
            <v>23</v>
          </cell>
          <cell r="P61" t="str">
            <v>082-005-8439</v>
          </cell>
          <cell r="Q61" t="str">
            <v>1-5019-01111-46-0</v>
          </cell>
          <cell r="R61" t="str">
            <v>ไทย</v>
          </cell>
          <cell r="S61" t="str">
            <v>泰国</v>
          </cell>
          <cell r="T61" t="str">
            <v>ม.3</v>
          </cell>
          <cell r="U61" t="str">
            <v>327 หมู่ที่ 12 ต.วาวี อ.แม่สรวย จ.เชียงราย</v>
          </cell>
          <cell r="V61" t="str">
            <v>434/21 ซ.ตาเที่ยง ต.มะขามคู่ อ.นิคมพัฒนา จ.ระยอง 21180</v>
          </cell>
          <cell r="W61" t="str">
            <v>รายเดือน</v>
          </cell>
          <cell r="X61" t="str">
            <v>在职</v>
          </cell>
        </row>
        <row r="62">
          <cell r="B62">
            <v>67126</v>
          </cell>
          <cell r="C62" t="str">
            <v>นายวรรณลพ  สีสงัด</v>
          </cell>
          <cell r="D62" t="str">
            <v>MR.WANLOP  SEESANGAT</v>
          </cell>
          <cell r="E62" t="str">
            <v>Male</v>
          </cell>
          <cell r="F62">
            <v>45441</v>
          </cell>
          <cell r="G62">
            <v>45501</v>
          </cell>
          <cell r="H62">
            <v>45531</v>
          </cell>
          <cell r="I62">
            <v>45560</v>
          </cell>
          <cell r="J62" t="str">
            <v>1 ปี 11 เดือน 26 วัน</v>
          </cell>
          <cell r="K62" t="str">
            <v>คลังสินค้า</v>
          </cell>
          <cell r="L62" t="str">
            <v>仓库管理员
เจ้าหน้าที่คลังสินค้า</v>
          </cell>
          <cell r="M62" t="str">
            <v>Warehouse</v>
          </cell>
          <cell r="N62">
            <v>36054</v>
          </cell>
          <cell r="O62">
            <v>27</v>
          </cell>
          <cell r="P62" t="str">
            <v>098-235-2734</v>
          </cell>
          <cell r="Q62" t="str">
            <v>1-4406-00263-76-7</v>
          </cell>
          <cell r="R62" t="str">
            <v>ไทย</v>
          </cell>
          <cell r="S62" t="str">
            <v>泰国</v>
          </cell>
          <cell r="T62" t="str">
            <v>ม.6</v>
          </cell>
          <cell r="U62" t="str">
            <v>42 หมู่ที่ 20 ต.หนองจิก อ.บรบือ จ.มหาสารคาม</v>
          </cell>
          <cell r="V62" t="str">
            <v>47/1 หมู่ 4 ห้างแก้วซอย 1 ต.มาบยางพร อ.ปลวกแดง จ.ระยอง 21140</v>
          </cell>
          <cell r="W62" t="str">
            <v>รายเดือน</v>
          </cell>
          <cell r="X62" t="str">
            <v>在职</v>
          </cell>
        </row>
        <row r="63">
          <cell r="B63">
            <v>67130</v>
          </cell>
          <cell r="C63" t="str">
            <v>นางสาวเกษศิรินทร์ บุตรชน</v>
          </cell>
          <cell r="D63" t="str">
            <v>MISS KERSIRIN  BUTCHON</v>
          </cell>
          <cell r="E63" t="str">
            <v>Female</v>
          </cell>
          <cell r="F63">
            <v>45460</v>
          </cell>
          <cell r="G63">
            <v>45520</v>
          </cell>
          <cell r="H63">
            <v>45550</v>
          </cell>
          <cell r="I63">
            <v>45579</v>
          </cell>
          <cell r="J63" t="str">
            <v>1 ปี 11 เดือน 8 วัน</v>
          </cell>
          <cell r="K63" t="str">
            <v>บริหารและวางแผนการผลิต</v>
          </cell>
          <cell r="L63" t="str">
            <v>采购专员 เจ้าหน้าที่จัดซื้อ</v>
          </cell>
          <cell r="M63" t="str">
            <v>Purchase</v>
          </cell>
          <cell r="N63">
            <v>37326</v>
          </cell>
          <cell r="O63">
            <v>24</v>
          </cell>
          <cell r="P63" t="str">
            <v>065-034-2346</v>
          </cell>
          <cell r="Q63" t="str">
            <v>1-45990-0904-00-6</v>
          </cell>
          <cell r="R63" t="str">
            <v>ไทย</v>
          </cell>
          <cell r="S63" t="str">
            <v>泰国</v>
          </cell>
          <cell r="T63" t="str">
            <v>ปริญญาตรี</v>
          </cell>
          <cell r="U63" t="str">
            <v>39/1 หมู่ที่ 7 ต.เมืองทอง อ.เมืองร้อยเอ็ด จ.ร้อยเอ็ด</v>
          </cell>
          <cell r="V63" t="str">
            <v>321/1 ม.6 ต.ปลวกแดง อ.ปลวกแดง จ.ระยอง 21140</v>
          </cell>
          <cell r="W63" t="str">
            <v>รายเดือน</v>
          </cell>
          <cell r="X63" t="str">
            <v>在职</v>
          </cell>
        </row>
        <row r="64">
          <cell r="B64">
            <v>67134</v>
          </cell>
          <cell r="C64" t="str">
            <v>นายทัพพสาร เม้าชุมแสง</v>
          </cell>
          <cell r="D64" t="str">
            <v>MR.TAPPASAR MAOCHUMSAENG</v>
          </cell>
          <cell r="E64" t="str">
            <v>Male</v>
          </cell>
          <cell r="F64">
            <v>45477</v>
          </cell>
          <cell r="G64">
            <v>45537</v>
          </cell>
          <cell r="H64">
            <v>45567</v>
          </cell>
          <cell r="I64">
            <v>45596</v>
          </cell>
          <cell r="J64" t="str">
            <v>1 ปี 10 เดือน 21 วัน</v>
          </cell>
          <cell r="K64" t="str">
            <v>คลังสินค้า</v>
          </cell>
          <cell r="L64" t="str">
            <v>仓库管理员(开叉车)
คลังสินค้า (ขับโฟร์คลิฟทฺ)</v>
          </cell>
          <cell r="M64" t="str">
            <v>Warehouse</v>
          </cell>
          <cell r="N64">
            <v>35689</v>
          </cell>
          <cell r="O64">
            <v>28</v>
          </cell>
          <cell r="P64" t="str">
            <v>081-139-2920</v>
          </cell>
          <cell r="Q64" t="str">
            <v>1-2097-01776-36-1</v>
          </cell>
          <cell r="R64" t="str">
            <v>ไทย</v>
          </cell>
          <cell r="S64" t="str">
            <v>泰国</v>
          </cell>
          <cell r="T64" t="str">
            <v>ม.6</v>
          </cell>
          <cell r="U64" t="str">
            <v>102 หมู่ที่ 5 ต.หนองแวง อ.ละหานทราย จ.บุรีรัมย์</v>
          </cell>
          <cell r="V64" t="str">
            <v>12/78 ม.3 ซ.มาบยางพร 42 ต.มาบยางพร อ.ปลวกแดง จ.ระยอง 21140</v>
          </cell>
          <cell r="W64" t="str">
            <v>รายเดือน</v>
          </cell>
          <cell r="X64" t="str">
            <v>在职</v>
          </cell>
        </row>
        <row r="65">
          <cell r="B65">
            <v>67138</v>
          </cell>
          <cell r="C65" t="str">
            <v>นายนที มหายศนันท์</v>
          </cell>
          <cell r="D65" t="str">
            <v>MR.NATEE MAHAYOSNAN</v>
          </cell>
          <cell r="E65" t="str">
            <v>Male</v>
          </cell>
          <cell r="F65">
            <v>45495</v>
          </cell>
          <cell r="G65">
            <v>45555</v>
          </cell>
          <cell r="H65">
            <v>45585</v>
          </cell>
          <cell r="I65">
            <v>45614</v>
          </cell>
          <cell r="J65" t="str">
            <v>1 ปี 10 เดือน 3 วัน</v>
          </cell>
          <cell r="K65" t="str">
            <v>คลังสินค้า</v>
          </cell>
          <cell r="L65" t="str">
            <v>Warehouse Supervisor</v>
          </cell>
          <cell r="M65" t="str">
            <v>Warehouse</v>
          </cell>
          <cell r="N65">
            <v>29791</v>
          </cell>
          <cell r="O65">
            <v>44</v>
          </cell>
          <cell r="P65" t="str">
            <v>081-160-0116</v>
          </cell>
          <cell r="Q65" t="str">
            <v>3-5506-00032-5-15</v>
          </cell>
          <cell r="R65" t="str">
            <v>ไทย</v>
          </cell>
          <cell r="S65" t="str">
            <v>泰国</v>
          </cell>
          <cell r="T65" t="str">
            <v>ปริญญาตรี</v>
          </cell>
          <cell r="U65" t="str">
            <v>105 หมู่ที่ 3 ต.ท่าวังผา อ.ท่าวังผา จ.น่าน</v>
          </cell>
          <cell r="V65" t="str">
            <v>88/695 ม.4 ต.มาบยางพร อ.ปลวกแดง จ.ระยอง 21140</v>
          </cell>
          <cell r="W65" t="str">
            <v>รายเดือน</v>
          </cell>
          <cell r="X65" t="str">
            <v>在职</v>
          </cell>
        </row>
        <row r="66">
          <cell r="B66">
            <v>67139</v>
          </cell>
          <cell r="C66" t="str">
            <v>นายรัฐกร หมื่นสา</v>
          </cell>
          <cell r="D66" t="str">
            <v>MR.RATTHAKON MUENSA</v>
          </cell>
          <cell r="E66" t="str">
            <v>Male</v>
          </cell>
          <cell r="F66">
            <v>45495</v>
          </cell>
          <cell r="G66">
            <v>45555</v>
          </cell>
          <cell r="H66">
            <v>45585</v>
          </cell>
          <cell r="I66">
            <v>45614</v>
          </cell>
          <cell r="J66" t="str">
            <v>1 ปี 10 เดือน 3 วัน</v>
          </cell>
          <cell r="K66" t="str">
            <v>พ่นสี</v>
          </cell>
          <cell r="L66" t="str">
            <v>เจ้าหน้าที่พ่นสี     喷涂</v>
          </cell>
          <cell r="M66" t="str">
            <v>Coating</v>
          </cell>
          <cell r="N66">
            <v>36569</v>
          </cell>
          <cell r="O66">
            <v>26</v>
          </cell>
          <cell r="P66" t="str">
            <v>061-483-7558</v>
          </cell>
          <cell r="Q66" t="str">
            <v>1-4406-01297-99-1</v>
          </cell>
          <cell r="R66" t="str">
            <v>ไทย</v>
          </cell>
          <cell r="S66" t="str">
            <v>泰国</v>
          </cell>
          <cell r="T66" t="str">
            <v>ปวส.</v>
          </cell>
          <cell r="U66" t="str">
            <v>124 หมู่ที่ 1 ต.หนองคูขาด อ.บรบือ จ.มหาสารคาม</v>
          </cell>
          <cell r="V66" t="str">
            <v>140/3 หมู่ 6 ต.มาบยางพร อ.ปลวกแดง จ.ระยอง</v>
          </cell>
          <cell r="W66" t="str">
            <v>รายเดือน</v>
          </cell>
          <cell r="X66" t="str">
            <v>在职</v>
          </cell>
        </row>
        <row r="67">
          <cell r="B67">
            <v>67143</v>
          </cell>
          <cell r="C67" t="str">
            <v>นายวรรณกร ทองดีมีศรี</v>
          </cell>
          <cell r="D67" t="str">
            <v>MR.WANNAKORN TONGDEEMEESRI</v>
          </cell>
          <cell r="E67" t="str">
            <v>Male</v>
          </cell>
          <cell r="F67">
            <v>45509</v>
          </cell>
          <cell r="G67">
            <v>45569</v>
          </cell>
          <cell r="H67">
            <v>45599</v>
          </cell>
          <cell r="I67">
            <v>45628</v>
          </cell>
          <cell r="J67" t="str">
            <v>1 ปี 9 เดือน 20 วัน</v>
          </cell>
          <cell r="K67" t="str">
            <v>ซ่อมบำรุง</v>
          </cell>
          <cell r="L67" t="str">
            <v>Assembly Maintenance Leader</v>
          </cell>
          <cell r="M67" t="str">
            <v>Equipment</v>
          </cell>
          <cell r="N67">
            <v>35092</v>
          </cell>
          <cell r="O67">
            <v>30</v>
          </cell>
          <cell r="P67" t="str">
            <v>095-761-0920</v>
          </cell>
          <cell r="Q67" t="str">
            <v>1-4704-00196-65-9</v>
          </cell>
          <cell r="R67" t="str">
            <v>ไทย</v>
          </cell>
          <cell r="S67" t="str">
            <v>泰国</v>
          </cell>
          <cell r="T67" t="str">
            <v>ม.3</v>
          </cell>
          <cell r="U67" t="str">
            <v>62 หมู่ที่ 7 ต.ลำสมพุง อ.มวกเหล็ก จ.สระบุรี</v>
          </cell>
          <cell r="V67" t="str">
            <v>575/27 ม.4 ซอย 14  ต.พนานิคม  อ.นิคมพัฒนา  จ.ระยอง</v>
          </cell>
          <cell r="W67" t="str">
            <v>รายเดือน</v>
          </cell>
          <cell r="X67" t="str">
            <v>在职</v>
          </cell>
        </row>
        <row r="68">
          <cell r="B68">
            <v>67148</v>
          </cell>
          <cell r="C68" t="str">
            <v>นางสาวนิตยา แซ่กือ</v>
          </cell>
          <cell r="D68" t="str">
            <v>MISS NITAYA SAEKUE</v>
          </cell>
          <cell r="E68" t="str">
            <v>Female</v>
          </cell>
          <cell r="F68">
            <v>45525</v>
          </cell>
          <cell r="G68">
            <v>45585</v>
          </cell>
          <cell r="H68">
            <v>45615</v>
          </cell>
          <cell r="I68">
            <v>45644</v>
          </cell>
          <cell r="J68" t="str">
            <v>1 ปี 9 เดือน 4 วัน</v>
          </cell>
          <cell r="K68" t="str">
            <v>คลังสินค้า</v>
          </cell>
          <cell r="L68" t="str">
            <v>仓库管理员
เจ้าหน้าที่คลังสินค้า</v>
          </cell>
          <cell r="M68" t="str">
            <v>Warehouse</v>
          </cell>
          <cell r="N68">
            <v>38099</v>
          </cell>
          <cell r="O68">
            <v>22</v>
          </cell>
          <cell r="P68" t="str">
            <v>095-358-0780</v>
          </cell>
          <cell r="Q68" t="str">
            <v>1-63980-0327-87-1</v>
          </cell>
          <cell r="R68" t="str">
            <v>ไทย</v>
          </cell>
          <cell r="S68" t="str">
            <v>泰国</v>
          </cell>
          <cell r="T68" t="str">
            <v>ม.6</v>
          </cell>
          <cell r="U68" t="str">
            <v>160 หมู่ 10 ต.มหาวัน อ.แม่สอด จ.ตาก</v>
          </cell>
          <cell r="V68" t="str">
            <v>375/27 หมู่ 2 ต.มะขามคู่ อ.นิคมพัฒนา จ.ระยอง</v>
          </cell>
          <cell r="W68" t="str">
            <v>รายเดือน</v>
          </cell>
          <cell r="X68" t="str">
            <v>在职</v>
          </cell>
        </row>
        <row r="69">
          <cell r="B69">
            <v>67150</v>
          </cell>
          <cell r="C69" t="str">
            <v>นายธรรมนูญ ขุนทอง</v>
          </cell>
          <cell r="D69" t="str">
            <v>MR.THAMMANOON KHUNTHONG</v>
          </cell>
          <cell r="E69" t="str">
            <v>Male</v>
          </cell>
          <cell r="F69">
            <v>45556</v>
          </cell>
          <cell r="G69">
            <v>45616</v>
          </cell>
          <cell r="H69">
            <v>45646</v>
          </cell>
          <cell r="I69">
            <v>45675</v>
          </cell>
          <cell r="J69" t="str">
            <v>1 ปี 8 เดือน 4 วัน</v>
          </cell>
          <cell r="K69" t="str">
            <v>ตรวจสอบคุณภาพ</v>
          </cell>
          <cell r="L69" t="str">
            <v>QC Sub Leader</v>
          </cell>
          <cell r="M69" t="str">
            <v>Quality</v>
          </cell>
          <cell r="N69">
            <v>36873</v>
          </cell>
          <cell r="O69">
            <v>25</v>
          </cell>
          <cell r="P69" t="str">
            <v>099-8720675</v>
          </cell>
          <cell r="Q69" t="str">
            <v>1-4305-01460-31-9</v>
          </cell>
          <cell r="R69" t="str">
            <v>Thai</v>
          </cell>
          <cell r="S69" t="str">
            <v>泰国</v>
          </cell>
          <cell r="T69" t="str">
            <v>ม.6</v>
          </cell>
          <cell r="U69" t="str">
            <v>87 หมู่ 12 ต.จุมพล อ.โพนพิสัย จ.หนองคาย</v>
          </cell>
          <cell r="V69" t="str">
            <v>549/6 หมู่ 1  ต.ปลวกแดง อ.ปลวกแดง จ.ระยอง 21140</v>
          </cell>
          <cell r="W69" t="str">
            <v>รายเดือน</v>
          </cell>
          <cell r="X69" t="str">
            <v>在职</v>
          </cell>
        </row>
        <row r="70">
          <cell r="B70">
            <v>67151</v>
          </cell>
          <cell r="C70" t="str">
            <v>นายเสกสรร อินสอน</v>
          </cell>
          <cell r="D70" t="str">
            <v>MR. SEKSAN INSORN</v>
          </cell>
          <cell r="E70" t="str">
            <v>Male</v>
          </cell>
          <cell r="F70">
            <v>45556</v>
          </cell>
          <cell r="G70">
            <v>45616</v>
          </cell>
          <cell r="H70">
            <v>45646</v>
          </cell>
          <cell r="I70">
            <v>45675</v>
          </cell>
          <cell r="J70" t="str">
            <v>1 ปี 8 เดือน 4 วัน</v>
          </cell>
          <cell r="K70" t="str">
            <v>คลังสินค้า</v>
          </cell>
          <cell r="L70" t="str">
            <v>挑选
เจ้าหน้าที่คัดงาน</v>
          </cell>
          <cell r="M70" t="str">
            <v>Warehouse</v>
          </cell>
          <cell r="N70">
            <v>34567</v>
          </cell>
          <cell r="O70">
            <v>31</v>
          </cell>
          <cell r="P70" t="str">
            <v>083-250-5901</v>
          </cell>
          <cell r="Q70" t="str">
            <v>1-3410-00165-44-8</v>
          </cell>
          <cell r="R70" t="str">
            <v>Thai</v>
          </cell>
          <cell r="S70" t="str">
            <v>泰国</v>
          </cell>
          <cell r="T70" t="str">
            <v>ม.3</v>
          </cell>
          <cell r="U70" t="str">
            <v>12 หมู่ 7 ต.หนองสะโน อ.บุณฑริก จ.อุบลราชธานี</v>
          </cell>
          <cell r="V70" t="str">
            <v>98/81 หมู่ 3 ต.มาบยางพร อ.ปลวกแดง จ.ระยอง 21140</v>
          </cell>
          <cell r="W70" t="str">
            <v>รายเดือน</v>
          </cell>
          <cell r="X70" t="str">
            <v>在职</v>
          </cell>
        </row>
        <row r="71">
          <cell r="B71">
            <v>67153</v>
          </cell>
          <cell r="C71" t="str">
            <v>นายวรวิทย์ คำลือชัย</v>
          </cell>
          <cell r="D71" t="str">
            <v>MR.WORAWIT KUMLEUCHAI</v>
          </cell>
          <cell r="E71" t="str">
            <v>Male</v>
          </cell>
          <cell r="F71">
            <v>45566</v>
          </cell>
          <cell r="G71">
            <v>45626</v>
          </cell>
          <cell r="H71">
            <v>45656</v>
          </cell>
          <cell r="I71">
            <v>45685</v>
          </cell>
          <cell r="J71" t="str">
            <v>1 ปี 7 เดือน 24 วัน</v>
          </cell>
          <cell r="K71" t="str">
            <v>ซ่อมบำรุง</v>
          </cell>
          <cell r="L71" t="str">
            <v>Assembly Maintenance Leader</v>
          </cell>
          <cell r="M71" t="str">
            <v>Equipment</v>
          </cell>
          <cell r="N71">
            <v>31301</v>
          </cell>
          <cell r="O71">
            <v>40</v>
          </cell>
          <cell r="P71">
            <v>823138456</v>
          </cell>
          <cell r="Q71" t="str">
            <v>1-49050-0024-80-9</v>
          </cell>
          <cell r="R71" t="str">
            <v>Thai</v>
          </cell>
          <cell r="S71" t="str">
            <v>泰国</v>
          </cell>
          <cell r="T71" t="str">
            <v>ปวส.</v>
          </cell>
          <cell r="U71" t="str">
            <v>67 หมู่ที่ 5 ต.บ้านค้อ อ.คำชะอี จ.มุกดาหาร</v>
          </cell>
          <cell r="V71" t="str">
            <v>64/4 ต.พนานิคม อ.นิคมพัฒนา จ.ระยอง</v>
          </cell>
          <cell r="W71" t="str">
            <v>รายเดือน</v>
          </cell>
          <cell r="X71" t="str">
            <v>在职</v>
          </cell>
        </row>
        <row r="72">
          <cell r="B72">
            <v>67156</v>
          </cell>
          <cell r="C72" t="str">
            <v>นายอภิวัฒน์ สุทธสิงห์</v>
          </cell>
          <cell r="D72" t="str">
            <v>MR.APHIWAT SUTTASING</v>
          </cell>
          <cell r="E72" t="str">
            <v>Male</v>
          </cell>
          <cell r="F72">
            <v>45582</v>
          </cell>
          <cell r="G72">
            <v>45642</v>
          </cell>
          <cell r="H72">
            <v>45672</v>
          </cell>
          <cell r="I72">
            <v>45701</v>
          </cell>
          <cell r="J72" t="str">
            <v>1 ปี 7 เดือน 8 วัน</v>
          </cell>
          <cell r="K72" t="str">
            <v>คลังสินค้า</v>
          </cell>
          <cell r="L72" t="str">
            <v>仓库管理员
คลังสินค้า (ขับโฟร์คลิฟท์)</v>
          </cell>
          <cell r="M72" t="str">
            <v>Warehouse</v>
          </cell>
          <cell r="N72">
            <v>36686</v>
          </cell>
          <cell r="O72">
            <v>25</v>
          </cell>
          <cell r="P72">
            <v>927039222</v>
          </cell>
          <cell r="Q72" t="str">
            <v>1-3106-00306-59-9</v>
          </cell>
          <cell r="R72" t="str">
            <v>Thai</v>
          </cell>
          <cell r="S72" t="str">
            <v>泰国</v>
          </cell>
          <cell r="T72" t="str">
            <v>ม.6</v>
          </cell>
          <cell r="U72" t="str">
            <v>276/1 หมู่ที่ 10 ต.หนองตะครอง อ.ละหานทราย จ.บุรีรัมย์</v>
          </cell>
          <cell r="V72" t="str">
            <v>134 หมู่ที่ 4 ต.มาบยางพร อ.ปลวกแดง จ.ระยอง</v>
          </cell>
          <cell r="W72" t="str">
            <v>รายเดือน</v>
          </cell>
          <cell r="X72" t="str">
            <v>在职</v>
          </cell>
        </row>
        <row r="73">
          <cell r="B73">
            <v>67160</v>
          </cell>
          <cell r="C73" t="str">
            <v>นายวรรณธนะ  ผูกฟัก</v>
          </cell>
          <cell r="D73" t="str">
            <v>MR.WANTANA PHOOKFAK</v>
          </cell>
          <cell r="E73" t="str">
            <v>Male</v>
          </cell>
          <cell r="F73">
            <v>45632</v>
          </cell>
          <cell r="G73">
            <v>45692</v>
          </cell>
          <cell r="H73">
            <v>45722</v>
          </cell>
          <cell r="I73">
            <v>45751</v>
          </cell>
          <cell r="J73" t="str">
            <v>1 ปี 5 เดือน 19 วัน</v>
          </cell>
          <cell r="K73" t="str">
            <v>ซ่อมบำรุง</v>
          </cell>
          <cell r="L73" t="str">
            <v>หัวหน้าฝ่ายซ่อมบำรุง
Maintenance Leader</v>
          </cell>
          <cell r="M73" t="str">
            <v>Equipment</v>
          </cell>
          <cell r="N73">
            <v>36324</v>
          </cell>
          <cell r="O73">
            <v>26</v>
          </cell>
          <cell r="P73">
            <v>809577370</v>
          </cell>
          <cell r="Q73" t="str">
            <v>1-6702-00222-29-8</v>
          </cell>
          <cell r="R73" t="str">
            <v>Thai</v>
          </cell>
          <cell r="S73" t="str">
            <v>泰国</v>
          </cell>
          <cell r="T73" t="str">
            <v>ปวส.</v>
          </cell>
          <cell r="U73" t="str">
            <v>82 หมู่6 ต.ลาดแค อ.ชนแดน จ.เพชรบูรณ์</v>
          </cell>
          <cell r="V73" t="str">
            <v>ห้อง 5 14/15 หมู่8 ต.พนานิคม อ.นิคมพัฒนา จ.ระยอง 21180</v>
          </cell>
          <cell r="W73" t="str">
            <v>รายเดือน</v>
          </cell>
          <cell r="X73" t="str">
            <v>在职</v>
          </cell>
        </row>
        <row r="74">
          <cell r="B74">
            <v>67161</v>
          </cell>
          <cell r="C74" t="str">
            <v>นางสาวดวงนภา สุวรรณภักดี</v>
          </cell>
          <cell r="D74" t="str">
            <v>MISS DUANGNAPA SUWANNAPAKDEE</v>
          </cell>
          <cell r="E74" t="str">
            <v>Female</v>
          </cell>
          <cell r="F74">
            <v>45642</v>
          </cell>
          <cell r="G74">
            <v>45702</v>
          </cell>
          <cell r="H74">
            <v>45732</v>
          </cell>
          <cell r="I74">
            <v>45761</v>
          </cell>
          <cell r="J74" t="str">
            <v>1 ปี 5 เดือน 9 วัน</v>
          </cell>
          <cell r="K74" t="str">
            <v>ตรวจสอบคุณภาพ</v>
          </cell>
          <cell r="L74" t="str">
            <v>Deputy Quality Manager</v>
          </cell>
          <cell r="M74" t="str">
            <v>Quality</v>
          </cell>
          <cell r="N74">
            <v>33295</v>
          </cell>
          <cell r="O74">
            <v>35</v>
          </cell>
          <cell r="P74" t="str">
            <v>093-134-0179</v>
          </cell>
          <cell r="Q74" t="str">
            <v>1-4999-00115-07-9</v>
          </cell>
          <cell r="R74" t="str">
            <v>Thai</v>
          </cell>
          <cell r="S74" t="str">
            <v>泰国</v>
          </cell>
          <cell r="T74" t="str">
            <v>ปริญญาตรี</v>
          </cell>
          <cell r="U74" t="str">
            <v>199/32 ต.บ่อวิน อ.ศรีราชา จ.ชลบุรี</v>
          </cell>
          <cell r="V74" t="str">
            <v>199/33 ต.บ่อวิน อ.ศรีราชา จ.ชลบุรี</v>
          </cell>
          <cell r="W74" t="str">
            <v>รายเดือน</v>
          </cell>
          <cell r="X74" t="str">
            <v>在职</v>
          </cell>
        </row>
        <row r="75">
          <cell r="B75">
            <v>68001</v>
          </cell>
          <cell r="C75" t="str">
            <v>นายณัฐภัทร  นามสุโพธิ์</v>
          </cell>
          <cell r="D75" t="str">
            <v>MR.NADTAPAT  NAMSUPO</v>
          </cell>
          <cell r="E75" t="str">
            <v>Male</v>
          </cell>
          <cell r="F75">
            <v>45665</v>
          </cell>
          <cell r="G75">
            <v>45725</v>
          </cell>
          <cell r="H75">
            <v>45755</v>
          </cell>
          <cell r="I75">
            <v>45784</v>
          </cell>
          <cell r="J75" t="str">
            <v>1 ปี 4 เดือน 17 วัน</v>
          </cell>
          <cell r="K75" t="str">
            <v>ประกอบ</v>
          </cell>
          <cell r="L75" t="str">
            <v>组装H9
เจ้าหน้าที่ประกอบH9</v>
          </cell>
          <cell r="M75" t="str">
            <v>Assembly</v>
          </cell>
          <cell r="N75">
            <v>39078</v>
          </cell>
          <cell r="O75">
            <v>19</v>
          </cell>
          <cell r="P75" t="str">
            <v>092-427-6488</v>
          </cell>
          <cell r="Q75" t="str">
            <v>1-7306-01291-24-9</v>
          </cell>
          <cell r="R75" t="str">
            <v>Thai</v>
          </cell>
          <cell r="S75" t="str">
            <v>泰国</v>
          </cell>
          <cell r="T75" t="str">
            <v>ม.3</v>
          </cell>
          <cell r="U75" t="str">
            <v>42 หมู่ 6 ต.วังโป่ง อ.วังโป่ง จ.เพชรบูรณ์</v>
          </cell>
          <cell r="V75" t="str">
            <v>42 หมู่ 7 ต.วังโป่ง อ.วังโป่ง จ.เพชรบูรณ์</v>
          </cell>
          <cell r="W75" t="str">
            <v>รายเดือน</v>
          </cell>
          <cell r="X75" t="str">
            <v>在职</v>
          </cell>
        </row>
        <row r="76">
          <cell r="B76">
            <v>68004</v>
          </cell>
          <cell r="C76" t="str">
            <v>นางสาวกนกวรรณ  ศักเหลา</v>
          </cell>
          <cell r="D76" t="str">
            <v>MISS.KANOKWAN  SAKLAO</v>
          </cell>
          <cell r="E76" t="str">
            <v>Female</v>
          </cell>
          <cell r="F76">
            <v>45670</v>
          </cell>
          <cell r="G76">
            <v>45730</v>
          </cell>
          <cell r="H76">
            <v>45760</v>
          </cell>
          <cell r="I76">
            <v>45789</v>
          </cell>
          <cell r="J76" t="str">
            <v>1 ปี 4 เดือน 12 วัน</v>
          </cell>
          <cell r="K76" t="str">
            <v>คลังสินค้า</v>
          </cell>
          <cell r="L76" t="str">
            <v>挑选
เจ้าหน้าที่คัดงาน</v>
          </cell>
          <cell r="M76" t="str">
            <v>Warehouse</v>
          </cell>
          <cell r="N76">
            <v>35774</v>
          </cell>
          <cell r="O76">
            <v>28</v>
          </cell>
          <cell r="P76" t="str">
            <v>093-090-1456</v>
          </cell>
          <cell r="Q76" t="str">
            <v>1-4399-00302-39-1</v>
          </cell>
          <cell r="R76" t="str">
            <v>Thai</v>
          </cell>
          <cell r="S76" t="str">
            <v>泰国</v>
          </cell>
          <cell r="T76" t="str">
            <v>ม.6</v>
          </cell>
          <cell r="U76" t="str">
            <v>72 หมู่ 11 ต.เหล่าต่างคำ อ.โพนพิสัย จ.หนองคาย</v>
          </cell>
          <cell r="V76" t="str">
            <v>92/1 หมุ่ 3 ซ.มาบยางพร22 ต.มาบยางพร อ.ปลวกแดง จ.ระยอง</v>
          </cell>
          <cell r="W76" t="str">
            <v>รายเดือน</v>
          </cell>
          <cell r="X76" t="str">
            <v>在职</v>
          </cell>
        </row>
        <row r="77">
          <cell r="B77">
            <v>68005</v>
          </cell>
          <cell r="C77" t="str">
            <v>นางสาวธิดา  แซ่กือ</v>
          </cell>
          <cell r="D77" t="str">
            <v>MISS.THIDA  SEAKEU</v>
          </cell>
          <cell r="E77" t="str">
            <v>Female</v>
          </cell>
          <cell r="F77">
            <v>45670</v>
          </cell>
          <cell r="G77">
            <v>45730</v>
          </cell>
          <cell r="H77">
            <v>45760</v>
          </cell>
          <cell r="I77">
            <v>45789</v>
          </cell>
          <cell r="J77" t="str">
            <v>1 ปี 4 เดือน 12 วัน</v>
          </cell>
          <cell r="K77" t="str">
            <v>คลังสินค้า</v>
          </cell>
          <cell r="L77" t="str">
            <v>挑选
เจ้าหน้าที่คัดงาน</v>
          </cell>
          <cell r="M77" t="str">
            <v>Warehouse</v>
          </cell>
          <cell r="N77">
            <v>37600</v>
          </cell>
          <cell r="O77">
            <v>23</v>
          </cell>
          <cell r="P77" t="str">
            <v>082-614-8052</v>
          </cell>
          <cell r="Q77" t="str">
            <v>1-6398-00294-82-4</v>
          </cell>
          <cell r="R77" t="str">
            <v>Thai</v>
          </cell>
          <cell r="S77" t="str">
            <v>泰国</v>
          </cell>
          <cell r="T77" t="str">
            <v>ม.7</v>
          </cell>
          <cell r="U77" t="str">
            <v>160 หมู่ 10 ต.มหาวัน อ.แม่สอด จ.ตาก</v>
          </cell>
          <cell r="V77" t="str">
            <v>60/2 หมู่ 2 ต.มะขามคู่ อ.นิคมพัฒนา จ.ระยอง</v>
          </cell>
          <cell r="W77" t="str">
            <v>รายเดือน</v>
          </cell>
          <cell r="X77" t="str">
            <v>在职</v>
          </cell>
        </row>
        <row r="78">
          <cell r="B78">
            <v>68017</v>
          </cell>
          <cell r="C78" t="str">
            <v>นายสิริคุปย์ แคว้นไธวง</v>
          </cell>
          <cell r="D78" t="str">
            <v>MR. SIRIKHUP KHAEONTHAISONG</v>
          </cell>
          <cell r="E78" t="str">
            <v>Male</v>
          </cell>
          <cell r="F78">
            <v>45717</v>
          </cell>
          <cell r="G78">
            <v>45777</v>
          </cell>
          <cell r="H78">
            <v>45807</v>
          </cell>
          <cell r="I78">
            <v>45836</v>
          </cell>
          <cell r="J78" t="str">
            <v>1 ปี 2 เดือน 24 วัน</v>
          </cell>
          <cell r="K78" t="str">
            <v>ประกอบ</v>
          </cell>
          <cell r="L78" t="str">
            <v>套螺帽
เจ้าหน้าที่Cut chamber</v>
          </cell>
          <cell r="M78" t="str">
            <v>Assembly machine</v>
          </cell>
          <cell r="N78">
            <v>36377</v>
          </cell>
          <cell r="O78">
            <v>26</v>
          </cell>
          <cell r="P78" t="str">
            <v>080-9603-073</v>
          </cell>
          <cell r="Q78" t="str">
            <v>1-4096-00266-65-9</v>
          </cell>
          <cell r="R78" t="str">
            <v>Thai</v>
          </cell>
          <cell r="S78" t="str">
            <v>泰国</v>
          </cell>
          <cell r="T78" t="str">
            <v>ม.3</v>
          </cell>
          <cell r="U78" t="str">
            <v>90 หมู่ที่4 ต.โนนคูณ อ.คอนสาร จ.ชัยภูมิ</v>
          </cell>
          <cell r="V78" t="str">
            <v>389 ม.1 ต.พนานิคม อ.นิคมพัฒนา จ.ระยอง</v>
          </cell>
          <cell r="W78" t="str">
            <v>รายเดือน</v>
          </cell>
          <cell r="X78" t="str">
            <v>在职</v>
          </cell>
        </row>
        <row r="79">
          <cell r="B79">
            <v>68018</v>
          </cell>
          <cell r="C79" t="str">
            <v>นางสาวทัศนีย์  ม่อมมิตร</v>
          </cell>
          <cell r="D79" t="str">
            <v>MISS.TASSANEE  MOMMIT</v>
          </cell>
          <cell r="E79" t="str">
            <v>Female</v>
          </cell>
          <cell r="F79">
            <v>45721</v>
          </cell>
          <cell r="G79">
            <v>45781</v>
          </cell>
          <cell r="H79">
            <v>45811</v>
          </cell>
          <cell r="I79">
            <v>45840</v>
          </cell>
          <cell r="J79" t="str">
            <v>1 ปี 2 เดือน 20 วัน</v>
          </cell>
          <cell r="K79" t="str">
            <v>คลังสินค้า</v>
          </cell>
          <cell r="L79" t="str">
            <v>仓库管理员
เจ้าหน้าที่คลังสินค้า</v>
          </cell>
          <cell r="M79" t="str">
            <v>Warehouse</v>
          </cell>
          <cell r="N79">
            <v>36316</v>
          </cell>
          <cell r="O79">
            <v>26</v>
          </cell>
          <cell r="P79" t="str">
            <v>065-825-0444</v>
          </cell>
          <cell r="Q79" t="str">
            <v>1-3110-60294-47-7</v>
          </cell>
          <cell r="R79" t="str">
            <v>Thai</v>
          </cell>
          <cell r="S79" t="str">
            <v>泰国</v>
          </cell>
          <cell r="T79" t="str">
            <v>ม.6</v>
          </cell>
          <cell r="U79" t="str">
            <v>168  หมู่ที่ 1 ต.ละหานทราย อ.ละหานทราย จ.บุรีรัมย์</v>
          </cell>
          <cell r="V79" t="str">
            <v>134 หมู่ที่ 4 ต.มาบยางพร อ.ปลวกแดง จ.ระยอง</v>
          </cell>
          <cell r="W79" t="str">
            <v>รายเดือน</v>
          </cell>
          <cell r="X79" t="str">
            <v>在职</v>
          </cell>
        </row>
        <row r="80">
          <cell r="B80">
            <v>68025</v>
          </cell>
          <cell r="C80" t="str">
            <v>นางสาวกาญจนา แซ่กือ</v>
          </cell>
          <cell r="D80" t="str">
            <v>MISS.KANCHANA SAEKUE</v>
          </cell>
          <cell r="E80" t="str">
            <v>Female</v>
          </cell>
          <cell r="F80">
            <v>45733</v>
          </cell>
          <cell r="G80">
            <v>45793</v>
          </cell>
          <cell r="H80">
            <v>45823</v>
          </cell>
          <cell r="I80">
            <v>45852</v>
          </cell>
          <cell r="J80" t="str">
            <v>1 ปี 2 เดือน 8 วัน</v>
          </cell>
          <cell r="K80" t="str">
            <v>ประกอบ</v>
          </cell>
          <cell r="L80" t="str">
            <v>套螺帽
เจ้าหน้าที่Cut chamber</v>
          </cell>
          <cell r="M80" t="str">
            <v>Assembly machine</v>
          </cell>
          <cell r="N80">
            <v>39047</v>
          </cell>
          <cell r="O80">
            <v>19</v>
          </cell>
          <cell r="P80" t="str">
            <v>062-116-6808</v>
          </cell>
          <cell r="Q80" t="str">
            <v>1-6398-00370-34-2</v>
          </cell>
          <cell r="R80" t="str">
            <v>Thai</v>
          </cell>
          <cell r="S80" t="str">
            <v>泰国</v>
          </cell>
          <cell r="T80" t="str">
            <v>ม.6</v>
          </cell>
          <cell r="U80" t="str">
            <v>160 ม.10 ต.มหาวัน อ.แม่สอด จ.ตาก</v>
          </cell>
          <cell r="V80" t="str">
            <v>375/27 ม.2 ต.มะขามคู่ อ.นิคมพัฒนา จ.ระยอง</v>
          </cell>
          <cell r="W80" t="str">
            <v>รายเดือน</v>
          </cell>
          <cell r="X80" t="str">
            <v>在职</v>
          </cell>
        </row>
        <row r="81">
          <cell r="B81">
            <v>68029</v>
          </cell>
          <cell r="C81" t="str">
            <v>นายกฤตเมธ  เสาเวียง</v>
          </cell>
          <cell r="D81" t="str">
            <v>MR.KRITTAMET SAOWIANG</v>
          </cell>
          <cell r="E81" t="str">
            <v>Male</v>
          </cell>
          <cell r="F81">
            <v>45748</v>
          </cell>
          <cell r="G81">
            <v>45808</v>
          </cell>
          <cell r="H81">
            <v>45838</v>
          </cell>
          <cell r="I81">
            <v>45867</v>
          </cell>
          <cell r="J81" t="str">
            <v>1 ปี 1 เดือน 24 วัน</v>
          </cell>
          <cell r="K81" t="str">
            <v>บริหารและวางแผนการผลิต</v>
          </cell>
          <cell r="L81" t="str">
            <v>项目  Project</v>
          </cell>
          <cell r="M81" t="str">
            <v>Planning</v>
          </cell>
          <cell r="N81">
            <v>34610</v>
          </cell>
          <cell r="O81">
            <v>31</v>
          </cell>
          <cell r="P81" t="str">
            <v>088-525-1740</v>
          </cell>
          <cell r="Q81" t="str">
            <v>1-3114-00082-04-3</v>
          </cell>
          <cell r="R81" t="str">
            <v>Thai</v>
          </cell>
          <cell r="S81" t="str">
            <v>泰国</v>
          </cell>
          <cell r="T81" t="str">
            <v>ปริญญาตรี</v>
          </cell>
          <cell r="U81" t="str">
            <v>288/1 ม.4 ต.บ่อวิน อ.ศรีราชา จ.ชลบุรี</v>
          </cell>
          <cell r="V81" t="str">
            <v>99/25 เดอะวัลเลย์ สุขุมวิท บางแสน ต.เสม็ด อ.เมือง จ.ชลบุรี 20000</v>
          </cell>
          <cell r="W81" t="str">
            <v>รายเดือน</v>
          </cell>
          <cell r="X81" t="str">
            <v>在职</v>
          </cell>
        </row>
        <row r="82">
          <cell r="B82">
            <v>68032</v>
          </cell>
          <cell r="C82" t="str">
            <v>นางสาวอรณีย์  หมู่หมื่นศรี</v>
          </cell>
          <cell r="D82" t="str">
            <v>MISS ORRANEE MOOMEUNSEE</v>
          </cell>
          <cell r="E82" t="str">
            <v>Female</v>
          </cell>
          <cell r="F82">
            <v>45779</v>
          </cell>
          <cell r="G82">
            <v>45839</v>
          </cell>
          <cell r="H82">
            <v>45869</v>
          </cell>
          <cell r="I82">
            <v>45898</v>
          </cell>
          <cell r="J82" t="str">
            <v>1 ปี 0 เดือน 23 วัน</v>
          </cell>
          <cell r="K82" t="str">
            <v>ตรวจสอบคุณภาพ</v>
          </cell>
          <cell r="L82" t="str">
            <v>检验员QC
เจ้าหน้าที่ QC</v>
          </cell>
          <cell r="M82" t="str">
            <v>Quality</v>
          </cell>
          <cell r="N82">
            <v>33941</v>
          </cell>
          <cell r="O82">
            <v>33</v>
          </cell>
          <cell r="P82" t="str">
            <v>083-893-6918</v>
          </cell>
          <cell r="Q82" t="str">
            <v>1-6799-00264-54-4</v>
          </cell>
          <cell r="R82" t="str">
            <v>Thai</v>
          </cell>
          <cell r="S82" t="str">
            <v>泰国</v>
          </cell>
          <cell r="T82" t="str">
            <v>ปวส.</v>
          </cell>
          <cell r="U82" t="str">
            <v>65 ม.3 ต.ช้างจะลด อ.หล่มสัก จ.เพชรบูรณ์</v>
          </cell>
          <cell r="V82" t="str">
            <v>273 ม.3 ต.บ่อวิน อ.ศรีราชา จ.ชลบุรี</v>
          </cell>
          <cell r="W82" t="str">
            <v>รายเดือน</v>
          </cell>
          <cell r="X82" t="str">
            <v>在职</v>
          </cell>
        </row>
        <row r="83">
          <cell r="B83">
            <v>68034</v>
          </cell>
          <cell r="C83" t="str">
            <v>นายวีระกร  อุดทังไข</v>
          </cell>
          <cell r="D83" t="str">
            <v>MR.WEERAKORN AUTTHANGKHAI</v>
          </cell>
          <cell r="E83" t="str">
            <v>Male</v>
          </cell>
          <cell r="F83">
            <v>45796</v>
          </cell>
          <cell r="G83">
            <v>45856</v>
          </cell>
          <cell r="H83">
            <v>45886</v>
          </cell>
          <cell r="I83">
            <v>45915</v>
          </cell>
          <cell r="J83" t="str">
            <v>1 ปี 0 เดือน 6 วัน</v>
          </cell>
          <cell r="K83" t="str">
            <v>Welding</v>
          </cell>
          <cell r="L83" t="str">
            <v>หัวหน้าฝ่ายเชื่อม Welding Leader</v>
          </cell>
          <cell r="M83" t="str">
            <v>Welding</v>
          </cell>
          <cell r="N83">
            <v>33015</v>
          </cell>
          <cell r="O83">
            <v>36</v>
          </cell>
          <cell r="P83" t="str">
            <v>093-390-2366</v>
          </cell>
          <cell r="Q83" t="str">
            <v>1-5507-00078-29-4</v>
          </cell>
          <cell r="R83" t="str">
            <v>Thai</v>
          </cell>
          <cell r="S83" t="str">
            <v>泰国</v>
          </cell>
          <cell r="T83" t="str">
            <v>ปริญญาตรี</v>
          </cell>
          <cell r="U83" t="str">
            <v>267 ม.1 ต.จอมจันทร์ อ.เวียงสา จ.น่าน</v>
          </cell>
          <cell r="V83" t="str">
            <v>267 ม.1 ต.จอมจันทร์ อ.เวียงสา จ.น่าน</v>
          </cell>
          <cell r="W83" t="str">
            <v>รายเดือน</v>
          </cell>
          <cell r="X83" t="str">
            <v>在职</v>
          </cell>
        </row>
        <row r="84">
          <cell r="B84">
            <v>68036</v>
          </cell>
          <cell r="C84" t="str">
            <v>นางสาวพันทิวา ไขคำ</v>
          </cell>
          <cell r="D84" t="str">
            <v>MISS.PANTIWA KAIKHAM</v>
          </cell>
          <cell r="E84" t="str">
            <v>Female</v>
          </cell>
          <cell r="F84">
            <v>45798</v>
          </cell>
          <cell r="G84">
            <v>45858</v>
          </cell>
          <cell r="H84">
            <v>45888</v>
          </cell>
          <cell r="I84">
            <v>45917</v>
          </cell>
          <cell r="J84" t="str">
            <v>1 ปี 0 เดือน 4 วัน</v>
          </cell>
          <cell r="K84" t="str">
            <v>พ่นสี</v>
          </cell>
          <cell r="L84" t="str">
            <v>喷涂及丝印组长 Leader พ่นสี+Screen</v>
          </cell>
          <cell r="M84" t="str">
            <v>Coating</v>
          </cell>
          <cell r="N84">
            <v>34320</v>
          </cell>
          <cell r="O84">
            <v>32</v>
          </cell>
          <cell r="P84" t="str">
            <v>081-741-9055</v>
          </cell>
          <cell r="Q84" t="str">
            <v>1-1008-00979-29-7</v>
          </cell>
          <cell r="R84" t="str">
            <v>Thai</v>
          </cell>
          <cell r="S84" t="str">
            <v>泰国</v>
          </cell>
          <cell r="T84" t="str">
            <v>ม.6</v>
          </cell>
          <cell r="U84" t="str">
            <v>42 ม.19 ต.ตลาดไทร อ.ชุมพวง จ.นครราชสีมา</v>
          </cell>
          <cell r="V84" t="str">
            <v>219 ม.5 ต.มาบยางพร อ.ปลวกแดง จ. ระรอง</v>
          </cell>
          <cell r="W84" t="str">
            <v>รายเดือน</v>
          </cell>
          <cell r="X84" t="str">
            <v>在职</v>
          </cell>
        </row>
        <row r="85">
          <cell r="B85">
            <v>68037</v>
          </cell>
          <cell r="C85" t="str">
            <v>Dang Jianlin</v>
          </cell>
          <cell r="D85" t="str">
            <v>MR.Dang Jianlin</v>
          </cell>
          <cell r="E85" t="str">
            <v>Male</v>
          </cell>
          <cell r="F85">
            <v>45775</v>
          </cell>
          <cell r="G85">
            <v>45835</v>
          </cell>
          <cell r="H85">
            <v>45865</v>
          </cell>
          <cell r="I85">
            <v>45894</v>
          </cell>
          <cell r="J85" t="str">
            <v>1 ปี 0 เดือน 27 วัน</v>
          </cell>
          <cell r="K85" t="str">
            <v>หลอมอลูมิเนียม</v>
          </cell>
          <cell r="L85" t="str">
            <v>压铸主管 
หัวหน้าฝ่ายหลอมอลูมิเนียม</v>
          </cell>
          <cell r="M85" t="str">
            <v>Die Casting</v>
          </cell>
          <cell r="N85">
            <v>34060</v>
          </cell>
          <cell r="O85">
            <v>33</v>
          </cell>
          <cell r="P85" t="str">
            <v>-</v>
          </cell>
          <cell r="Q85" t="str">
            <v>-</v>
          </cell>
          <cell r="R85" t="str">
            <v>จีน</v>
          </cell>
          <cell r="S85" t="str">
            <v>-</v>
          </cell>
          <cell r="T85" t="str">
            <v>-</v>
          </cell>
          <cell r="U85" t="str">
            <v>-</v>
          </cell>
          <cell r="V85" t="str">
            <v>-</v>
          </cell>
          <cell r="W85" t="str">
            <v>รายเดือน</v>
          </cell>
          <cell r="X85" t="str">
            <v>在职</v>
          </cell>
        </row>
        <row r="86">
          <cell r="B86">
            <v>68040</v>
          </cell>
          <cell r="C86" t="str">
            <v>นายเดชบดินทร์ กิจยศชัยปกรณ์</v>
          </cell>
          <cell r="D86" t="str">
            <v>MR.DETBODIN KITYOTCHAIPAKON</v>
          </cell>
          <cell r="E86" t="str">
            <v>Male</v>
          </cell>
          <cell r="F86">
            <v>45853</v>
          </cell>
          <cell r="G86">
            <v>45913</v>
          </cell>
          <cell r="H86">
            <v>45943</v>
          </cell>
          <cell r="I86">
            <v>45972</v>
          </cell>
          <cell r="J86" t="str">
            <v>0 ปี 10 เดือน 10 วัน</v>
          </cell>
          <cell r="K86" t="str">
            <v>ประกอบ</v>
          </cell>
          <cell r="L86" t="str">
            <v>Assembly production line Manager</v>
          </cell>
          <cell r="M86" t="str">
            <v>Assembly machine</v>
          </cell>
          <cell r="N86">
            <v>34898</v>
          </cell>
          <cell r="O86">
            <v>30</v>
          </cell>
          <cell r="P86" t="str">
            <v>093-149-9854</v>
          </cell>
          <cell r="Q86" t="str">
            <v>1-50040-0093-28-0</v>
          </cell>
          <cell r="R86" t="str">
            <v>Thai</v>
          </cell>
          <cell r="S86" t="str">
            <v>泰国</v>
          </cell>
          <cell r="T86" t="str">
            <v>ปริญญาตรี</v>
          </cell>
          <cell r="U86" t="str">
            <v>264/76 ม.1 ต.มะขามคู่ อ.นิคมพัฒนา จ.ระยอง</v>
          </cell>
          <cell r="V86" t="str">
            <v>264/76 ม.1 ต.มะขามคู่ อ.นิคมพัฒนา จ.ระยอง</v>
          </cell>
          <cell r="W86" t="str">
            <v>รายเดือน</v>
          </cell>
          <cell r="X86" t="str">
            <v>在职</v>
          </cell>
        </row>
        <row r="87">
          <cell r="B87">
            <v>68042</v>
          </cell>
          <cell r="C87" t="str">
            <v>Song Liangliang</v>
          </cell>
          <cell r="D87" t="str">
            <v>MR.Song Liangliang</v>
          </cell>
          <cell r="E87" t="str">
            <v>Male</v>
          </cell>
          <cell r="F87">
            <v>45827</v>
          </cell>
          <cell r="G87">
            <v>45887</v>
          </cell>
          <cell r="H87">
            <v>45917</v>
          </cell>
          <cell r="I87">
            <v>45946</v>
          </cell>
          <cell r="J87" t="str">
            <v>0 ปี 11 เดือน 6 วัน</v>
          </cell>
          <cell r="K87" t="str">
            <v>ซ่อมบำรุง</v>
          </cell>
          <cell r="L87" t="str">
            <v>Assembly and Coating Supervisor</v>
          </cell>
          <cell r="M87" t="str">
            <v>Assembly machine</v>
          </cell>
          <cell r="N87">
            <v>32450</v>
          </cell>
          <cell r="O87">
            <v>37</v>
          </cell>
          <cell r="P87" t="str">
            <v>-</v>
          </cell>
          <cell r="Q87" t="str">
            <v>-</v>
          </cell>
          <cell r="R87" t="str">
            <v>จีน</v>
          </cell>
          <cell r="S87" t="str">
            <v>-</v>
          </cell>
          <cell r="T87" t="str">
            <v>-</v>
          </cell>
          <cell r="U87" t="str">
            <v>-</v>
          </cell>
          <cell r="V87" t="str">
            <v>-</v>
          </cell>
          <cell r="W87" t="str">
            <v>รายเดือน</v>
          </cell>
          <cell r="X87" t="str">
            <v>在职</v>
          </cell>
        </row>
        <row r="88">
          <cell r="B88">
            <v>68043</v>
          </cell>
          <cell r="C88" t="str">
            <v>นายวันชัย ขุมทอง</v>
          </cell>
          <cell r="D88" t="str">
            <v>MR.WANCHAI KHUMTONG</v>
          </cell>
          <cell r="E88" t="str">
            <v>Male</v>
          </cell>
          <cell r="F88">
            <v>45873</v>
          </cell>
          <cell r="G88">
            <v>45933</v>
          </cell>
          <cell r="H88">
            <v>45963</v>
          </cell>
          <cell r="I88">
            <v>45992</v>
          </cell>
          <cell r="J88" t="str">
            <v>0 ปี 9 เดือน 21 วัน</v>
          </cell>
          <cell r="K88" t="str">
            <v>ประกอบ</v>
          </cell>
          <cell r="L88" t="str">
            <v>PLC</v>
          </cell>
          <cell r="M88" t="str">
            <v>PLC</v>
          </cell>
          <cell r="N88">
            <v>36614</v>
          </cell>
          <cell r="O88">
            <v>26</v>
          </cell>
          <cell r="P88" t="str">
            <v>098-891-8695</v>
          </cell>
          <cell r="Q88" t="str">
            <v>1-1018-01086-91-2</v>
          </cell>
          <cell r="R88" t="str">
            <v>ไทย</v>
          </cell>
          <cell r="S88" t="str">
            <v>泰国</v>
          </cell>
          <cell r="T88" t="str">
            <v>ปริญญาตรี</v>
          </cell>
          <cell r="U88" t="str">
            <v>109 ม.8 ต.นาภู อ.ยางสีสุราษ จ.มหาสารคาม</v>
          </cell>
          <cell r="V88" t="str">
            <v>500 ม.1 ต.ตาสิทธิ์ อ.ปลวกแดง จ.ระยอง</v>
          </cell>
          <cell r="W88" t="str">
            <v>รายเดือน</v>
          </cell>
          <cell r="X88" t="str">
            <v>在职</v>
          </cell>
        </row>
        <row r="89">
          <cell r="B89">
            <v>68048</v>
          </cell>
          <cell r="C89" t="str">
            <v>นางสาวอรญา ทองยศ</v>
          </cell>
          <cell r="D89" t="str">
            <v>MISS.ORAYA THONGYOT</v>
          </cell>
          <cell r="E89" t="str">
            <v>Female</v>
          </cell>
          <cell r="F89">
            <v>45887</v>
          </cell>
          <cell r="G89">
            <v>45947</v>
          </cell>
          <cell r="H89">
            <v>45977</v>
          </cell>
          <cell r="I89">
            <v>46006</v>
          </cell>
          <cell r="J89" t="str">
            <v>0 ปี 9 เดือน 7 วัน</v>
          </cell>
          <cell r="K89" t="str">
            <v>ตรวจสอบคุณภาพ</v>
          </cell>
          <cell r="L89" t="str">
            <v>检验员QC
เจ้าหน้าที่ QC</v>
          </cell>
          <cell r="M89" t="str">
            <v>Quality</v>
          </cell>
          <cell r="N89">
            <v>35557</v>
          </cell>
          <cell r="O89">
            <v>29</v>
          </cell>
          <cell r="P89" t="str">
            <v>090-979-9134</v>
          </cell>
          <cell r="Q89" t="str">
            <v>1-3499-00854-08-5</v>
          </cell>
          <cell r="R89" t="str">
            <v>ไทย</v>
          </cell>
          <cell r="S89" t="str">
            <v>泰国</v>
          </cell>
          <cell r="T89" t="str">
            <v>ม.6</v>
          </cell>
          <cell r="U89" t="str">
            <v>219 ม.1 ต.ประดาง อ.วังเจ้า จ.ตาก</v>
          </cell>
          <cell r="V89" t="str">
            <v>199/79 ม.4 ต.มะขามคู่ อ.นิคมพัฒนา จ.ระยอง</v>
          </cell>
          <cell r="W89" t="str">
            <v>รายเดือน</v>
          </cell>
          <cell r="X89" t="str">
            <v>在职</v>
          </cell>
        </row>
        <row r="90">
          <cell r="B90">
            <v>68049</v>
          </cell>
          <cell r="C90" t="str">
            <v>นายนราธิป บุญภูมิ</v>
          </cell>
          <cell r="D90" t="str">
            <v>MR.NARATHIP BUNPUM</v>
          </cell>
          <cell r="E90" t="str">
            <v>Male</v>
          </cell>
          <cell r="F90">
            <v>45890</v>
          </cell>
          <cell r="G90">
            <v>45950</v>
          </cell>
          <cell r="H90">
            <v>45980</v>
          </cell>
          <cell r="I90">
            <v>46009</v>
          </cell>
          <cell r="J90" t="str">
            <v>0 ปี 9 เดือน 4 วัน</v>
          </cell>
          <cell r="K90" t="str">
            <v>Welding</v>
          </cell>
          <cell r="L90" t="str">
            <v>焊接操作工ROBOT
ฝ่ายเชื่อมงานRobot</v>
          </cell>
          <cell r="M90" t="str">
            <v>Welding</v>
          </cell>
          <cell r="N90">
            <v>37582</v>
          </cell>
          <cell r="O90">
            <v>23</v>
          </cell>
          <cell r="P90" t="str">
            <v>082-395-7500</v>
          </cell>
          <cell r="Q90" t="str">
            <v>1-7499-00870-75-3</v>
          </cell>
          <cell r="R90" t="str">
            <v>ไทย</v>
          </cell>
          <cell r="S90" t="str">
            <v>泰国</v>
          </cell>
          <cell r="T90" t="str">
            <v>ม.6</v>
          </cell>
          <cell r="U90" t="str">
            <v>19 ม.11 ต.โนนเจริญ อ.บ้านกรวด จ.บุรีรัมย์</v>
          </cell>
          <cell r="V90" t="str">
            <v>156 ม.6 ต.มาบยางพร อ.ปลวกแดง จ.ระยอง</v>
          </cell>
          <cell r="W90" t="str">
            <v>รายเดือน</v>
          </cell>
          <cell r="X90" t="str">
            <v>在职</v>
          </cell>
        </row>
        <row r="91">
          <cell r="B91">
            <v>68050</v>
          </cell>
          <cell r="C91" t="str">
            <v>นายเฉลิมวุฒิ เพ็งประโคน</v>
          </cell>
          <cell r="D91" t="str">
            <v>MRSALOEMWUT PHENGPRAKHON</v>
          </cell>
          <cell r="E91" t="str">
            <v>Male</v>
          </cell>
          <cell r="F91">
            <v>45890</v>
          </cell>
          <cell r="G91">
            <v>45950</v>
          </cell>
          <cell r="H91">
            <v>45980</v>
          </cell>
          <cell r="I91">
            <v>46009</v>
          </cell>
          <cell r="J91" t="str">
            <v>0 ปี 9 เดือน 4 วัน</v>
          </cell>
          <cell r="K91" t="str">
            <v>Stamping</v>
          </cell>
          <cell r="L91" t="str">
            <v>冲压操作工260T
เจ้าหน้าที่ปั๊มงาน260ตัน</v>
          </cell>
          <cell r="M91" t="str">
            <v>Stamping</v>
          </cell>
          <cell r="N91">
            <v>36522</v>
          </cell>
          <cell r="O91">
            <v>26</v>
          </cell>
          <cell r="P91" t="str">
            <v>065-455-7752</v>
          </cell>
          <cell r="Q91" t="str">
            <v>1-3501-01563-04-9</v>
          </cell>
          <cell r="R91" t="str">
            <v>ไทย</v>
          </cell>
          <cell r="S91" t="str">
            <v>泰国</v>
          </cell>
          <cell r="T91" t="str">
            <v>ม.6</v>
          </cell>
          <cell r="U91" t="str">
            <v>178 ม.3 ต.หัวเมือง อ.มหาชนะชัย จ.ยโสธร</v>
          </cell>
          <cell r="V91" t="str">
            <v>306/16 ม.2 ต.มาบยางพร อ.ปลวกแดง จ.ระยอง</v>
          </cell>
          <cell r="W91" t="str">
            <v>รายเดือน</v>
          </cell>
          <cell r="X91" t="str">
            <v>在职</v>
          </cell>
        </row>
        <row r="92">
          <cell r="B92">
            <v>68051</v>
          </cell>
          <cell r="C92" t="str">
            <v>นายสมโภชน์ เหลี่ยมล้ำ</v>
          </cell>
          <cell r="D92" t="str">
            <v>MR.SOMPOCH LIAMLAM</v>
          </cell>
          <cell r="E92" t="str">
            <v>Male</v>
          </cell>
          <cell r="F92">
            <v>45890</v>
          </cell>
          <cell r="G92">
            <v>45950</v>
          </cell>
          <cell r="H92">
            <v>45980</v>
          </cell>
          <cell r="I92">
            <v>46009</v>
          </cell>
          <cell r="J92" t="str">
            <v>0 ปี 9 เดือน 4 วัน</v>
          </cell>
          <cell r="K92" t="str">
            <v>ตรวจสอบคุณภาพ</v>
          </cell>
          <cell r="L92" t="str">
            <v>TECHNICAL QUALITY</v>
          </cell>
          <cell r="M92" t="str">
            <v>Quality</v>
          </cell>
          <cell r="N92">
            <v>34444</v>
          </cell>
          <cell r="O92">
            <v>32</v>
          </cell>
          <cell r="P92" t="str">
            <v>093-483-0191</v>
          </cell>
          <cell r="Q92" t="str">
            <v>1-4502-00206-70-7</v>
          </cell>
          <cell r="R92" t="str">
            <v>ไทย</v>
          </cell>
          <cell r="S92" t="str">
            <v>泰国</v>
          </cell>
          <cell r="T92" t="str">
            <v>ปวช.</v>
          </cell>
          <cell r="U92" t="str">
            <v>77 ม.10 ต.ดงครั่งน้อย อ.เกษตรวิสัย จ.ร้อยเอ็ด</v>
          </cell>
          <cell r="V92" t="str">
            <v>497/1 ม.2 ต.มาบยางพร อ.ปลวกแดง จ.ระยอง</v>
          </cell>
          <cell r="W92" t="str">
            <v>รายเดือน</v>
          </cell>
          <cell r="X92" t="str">
            <v>在职</v>
          </cell>
        </row>
        <row r="93">
          <cell r="B93">
            <v>68052</v>
          </cell>
          <cell r="C93" t="str">
            <v>นางสาวภัสนันท์ เข้มแข็ง</v>
          </cell>
          <cell r="D93" t="str">
            <v>MS.PASSANAN KHAMKHAENG</v>
          </cell>
          <cell r="E93" t="str">
            <v>Female</v>
          </cell>
          <cell r="F93">
            <v>45901</v>
          </cell>
          <cell r="G93">
            <v>45961</v>
          </cell>
          <cell r="H93">
            <v>45991</v>
          </cell>
          <cell r="I93">
            <v>46020</v>
          </cell>
          <cell r="J93" t="str">
            <v>0 ปี 8 เดือน 24 วัน</v>
          </cell>
          <cell r="K93" t="str">
            <v>HR &amp; Administration</v>
          </cell>
          <cell r="L93" t="str">
            <v>行政专员
ทรัพยากรบุคคล</v>
          </cell>
          <cell r="M93" t="str">
            <v>HR &amp; Administration</v>
          </cell>
          <cell r="N93">
            <v>36444</v>
          </cell>
          <cell r="O93">
            <v>26</v>
          </cell>
          <cell r="P93" t="str">
            <v>098-289-5309</v>
          </cell>
          <cell r="Q93" t="str">
            <v>1-2105-00127-28-6</v>
          </cell>
          <cell r="R93" t="str">
            <v>ไทย</v>
          </cell>
          <cell r="S93" t="str">
            <v>泰国</v>
          </cell>
          <cell r="T93" t="str">
            <v>ปริญญาตรี</v>
          </cell>
          <cell r="U93" t="str">
            <v>103/2 ม.11 ต.บางบุตร อ.บ้านค่าย จ.ระยอง 21120</v>
          </cell>
          <cell r="V93" t="str">
            <v>103/2 ม.11 ต.บางบุตร อ.บ้านค่าย จ.ระยอง 21120</v>
          </cell>
          <cell r="W93" t="str">
            <v>รายเดือน</v>
          </cell>
          <cell r="X93" t="str">
            <v>在职</v>
          </cell>
        </row>
        <row r="94">
          <cell r="B94">
            <v>68055</v>
          </cell>
          <cell r="C94" t="str">
            <v>นายภานุพงศ์ บุญเฮ้า</v>
          </cell>
          <cell r="D94" t="str">
            <v>MR.PHANUPHONG BOONHAO</v>
          </cell>
          <cell r="E94" t="str">
            <v>Male</v>
          </cell>
          <cell r="F94">
            <v>45922</v>
          </cell>
          <cell r="G94">
            <v>45982</v>
          </cell>
          <cell r="H94">
            <v>46012</v>
          </cell>
          <cell r="I94">
            <v>46041</v>
          </cell>
          <cell r="J94" t="str">
            <v>0 ปี 8 เดือน 3 วัน</v>
          </cell>
          <cell r="K94" t="str">
            <v>ซ่อมบำรุง</v>
          </cell>
          <cell r="L94" t="str">
            <v>维修摸具
ช่างซ่อมแม่พิมพ์</v>
          </cell>
          <cell r="M94" t="str">
            <v>Equipment</v>
          </cell>
          <cell r="N94">
            <v>37560</v>
          </cell>
          <cell r="O94">
            <v>23</v>
          </cell>
          <cell r="P94">
            <v>654638386</v>
          </cell>
          <cell r="Q94" t="str">
            <v>1-1031-00760-58-9</v>
          </cell>
          <cell r="R94" t="str">
            <v>ไทย</v>
          </cell>
          <cell r="S94" t="str">
            <v>泰国</v>
          </cell>
          <cell r="T94" t="str">
            <v>ปวส.</v>
          </cell>
          <cell r="U94" t="str">
            <v>71 หมู่ที่ 8 ต.ท่าตูม อ.ท่าตูม จ.สุรินทร์</v>
          </cell>
          <cell r="V94" t="str">
            <v>295 ม.6 ต.มาบยางพร อ.ปลวกแดง จ.ระยอง 21140</v>
          </cell>
          <cell r="W94" t="str">
            <v>รายเดือน</v>
          </cell>
          <cell r="X94" t="str">
            <v>在职</v>
          </cell>
        </row>
        <row r="95">
          <cell r="B95">
            <v>68056</v>
          </cell>
          <cell r="C95" t="str">
            <v>นายสุชาติ พลชาลี</v>
          </cell>
          <cell r="D95" t="str">
            <v>MR.SUCHAT PHONCHALI</v>
          </cell>
          <cell r="E95" t="str">
            <v>Male</v>
          </cell>
          <cell r="F95">
            <v>45922</v>
          </cell>
          <cell r="G95">
            <v>45982</v>
          </cell>
          <cell r="H95">
            <v>46012</v>
          </cell>
          <cell r="I95">
            <v>46041</v>
          </cell>
          <cell r="J95" t="str">
            <v>0 ปี 8 เดือน 3 วัน</v>
          </cell>
          <cell r="K95" t="str">
            <v>Stamping</v>
          </cell>
          <cell r="L95" t="str">
            <v>冲压操作工500T
เจ้าหน้าที่ปั๊มงาน500ตัน</v>
          </cell>
          <cell r="M95" t="str">
            <v>Stamping</v>
          </cell>
          <cell r="N95">
            <v>35387</v>
          </cell>
          <cell r="O95">
            <v>29</v>
          </cell>
          <cell r="P95">
            <v>928947516</v>
          </cell>
          <cell r="Q95" t="str">
            <v>1-3610-00267-41-1</v>
          </cell>
          <cell r="R95" t="str">
            <v>ไทย</v>
          </cell>
          <cell r="S95" t="str">
            <v>泰国</v>
          </cell>
          <cell r="T95" t="str">
            <v>ม.6</v>
          </cell>
          <cell r="U95" t="str">
            <v>197 หมู่ที่ 1 ต.โนนกอก อ.เกษตรสมบูรณ์ จ.ชัยภูมิ</v>
          </cell>
          <cell r="V95" t="str">
            <v>112 หมู่ที่ 4 ต.มาบยางพร อ.ปลวกแดง จ.ระยอง 21140</v>
          </cell>
          <cell r="W95" t="str">
            <v>รายเดือน</v>
          </cell>
          <cell r="X95" t="str">
            <v>在职</v>
          </cell>
        </row>
        <row r="96">
          <cell r="B96">
            <v>68060</v>
          </cell>
          <cell r="C96" t="str">
            <v>นางสาวกันต์วรา  แก้วกันทา</v>
          </cell>
          <cell r="D96" t="str">
            <v>MS.KANWARA KAEWKANTA</v>
          </cell>
          <cell r="E96" t="str">
            <v>Female</v>
          </cell>
          <cell r="F96">
            <v>45964</v>
          </cell>
          <cell r="G96">
            <v>46024</v>
          </cell>
          <cell r="H96">
            <v>46054</v>
          </cell>
          <cell r="I96">
            <v>46083</v>
          </cell>
          <cell r="J96" t="str">
            <v>0 ปี 6 เดือน 22 วัน</v>
          </cell>
          <cell r="K96" t="str">
            <v>HR &amp; Administration</v>
          </cell>
          <cell r="L96" t="str">
            <v>行政
ฝ่ายธุรการ</v>
          </cell>
          <cell r="M96" t="str">
            <v>HR &amp; Administration</v>
          </cell>
          <cell r="N96">
            <v>34010</v>
          </cell>
          <cell r="O96">
            <v>33</v>
          </cell>
          <cell r="P96" t="str">
            <v>098-758-4494</v>
          </cell>
          <cell r="Q96" t="str">
            <v>1-5299-00621-57-7</v>
          </cell>
          <cell r="R96" t="str">
            <v>ไทย</v>
          </cell>
          <cell r="S96" t="str">
            <v>泰国</v>
          </cell>
          <cell r="T96" t="str">
            <v>ปวส.</v>
          </cell>
          <cell r="U96" t="str">
            <v>444/53 หมู่ที่ 2 ซ.3 ต.นิคมพัฒนา อ.นิคมพัฒนา จ.ระยอง</v>
          </cell>
          <cell r="V96" t="str">
            <v>444/53 หมู่ที่ 2 ซ.3 ต.นิคมพัฒนา อ.นิคมพัฒนา จ.ระยอง</v>
          </cell>
          <cell r="W96" t="str">
            <v>รายเดือน</v>
          </cell>
          <cell r="X96" t="str">
            <v>在职</v>
          </cell>
        </row>
        <row r="97">
          <cell r="B97">
            <v>68061</v>
          </cell>
          <cell r="C97" t="str">
            <v>นางสาวจิตรลดา  พิพัฒนาสุภรณ์</v>
          </cell>
          <cell r="D97" t="str">
            <v>MS.JIDLADA  PHIPHATTHANASUPHON</v>
          </cell>
          <cell r="E97" t="str">
            <v>Female</v>
          </cell>
          <cell r="F97">
            <v>45974</v>
          </cell>
          <cell r="G97">
            <v>46034</v>
          </cell>
          <cell r="H97">
            <v>46064</v>
          </cell>
          <cell r="I97">
            <v>46093</v>
          </cell>
          <cell r="J97" t="str">
            <v>0 ปี 6 เดือน 12 วัน</v>
          </cell>
          <cell r="K97" t="str">
            <v>Production</v>
          </cell>
          <cell r="L97" t="str">
            <v>行政
ฝ่ายธุรการ （Spare parts）</v>
          </cell>
          <cell r="M97" t="str">
            <v>Production</v>
          </cell>
          <cell r="N97">
            <v>37679</v>
          </cell>
          <cell r="O97">
            <v>23</v>
          </cell>
          <cell r="P97" t="str">
            <v>095-194-3808</v>
          </cell>
          <cell r="Q97" t="str">
            <v>1-4699-00604-31-2</v>
          </cell>
          <cell r="R97" t="str">
            <v>ไทย</v>
          </cell>
          <cell r="S97" t="str">
            <v>泰国</v>
          </cell>
          <cell r="T97" t="str">
            <v>ปวช.</v>
          </cell>
          <cell r="U97" t="str">
            <v>127/1 ม.5 ต.นาด้วง อ.นาด้วง จ.เลย</v>
          </cell>
          <cell r="V97" t="str">
            <v>406/56 ม.2 ต.มาบยางพร อ.ปลวกแดง จ.ระยอง</v>
          </cell>
          <cell r="W97" t="str">
            <v>รายเดือน</v>
          </cell>
          <cell r="X97" t="str">
            <v>在职</v>
          </cell>
        </row>
        <row r="98">
          <cell r="B98">
            <v>68062</v>
          </cell>
          <cell r="C98" t="str">
            <v>นางสาวยุวดี  อินทรีย์</v>
          </cell>
          <cell r="D98" t="str">
            <v>MISS YUWADEE  INSEE</v>
          </cell>
          <cell r="E98" t="str">
            <v>Female</v>
          </cell>
          <cell r="F98">
            <v>45992</v>
          </cell>
          <cell r="G98">
            <v>46052</v>
          </cell>
          <cell r="H98">
            <v>46082</v>
          </cell>
          <cell r="I98">
            <v>46111</v>
          </cell>
          <cell r="J98" t="str">
            <v>0 ปี 5 เดือน 24 วัน</v>
          </cell>
          <cell r="K98" t="str">
            <v>ตรวจสอบคุณภาพ</v>
          </cell>
          <cell r="L98" t="str">
            <v>检验员QC
เจ้าหน้าที่ QC</v>
          </cell>
          <cell r="M98" t="str">
            <v>Quality</v>
          </cell>
          <cell r="N98">
            <v>37231</v>
          </cell>
          <cell r="O98">
            <v>24</v>
          </cell>
          <cell r="P98" t="str">
            <v>098-465-9786</v>
          </cell>
          <cell r="Q98" t="str">
            <v>1-3391-00005-94-6</v>
          </cell>
          <cell r="R98" t="str">
            <v>ไทย</v>
          </cell>
          <cell r="S98" t="str">
            <v>泰国</v>
          </cell>
          <cell r="T98" t="str">
            <v>ปวช.</v>
          </cell>
          <cell r="U98" t="str">
            <v>78 ม.5 ต.บัวหุ่ง อ.ราษีไศล จ.ศรีสะเกษ</v>
          </cell>
          <cell r="V98" t="str">
            <v>406/56 ม.2 ต.มาบยางพร อ.ปลวกแดง จ.ระยอง</v>
          </cell>
          <cell r="W98" t="str">
            <v>รายเดือน</v>
          </cell>
          <cell r="X98" t="str">
            <v>在职</v>
          </cell>
        </row>
        <row r="99">
          <cell r="B99">
            <v>68063</v>
          </cell>
          <cell r="C99" t="str">
            <v>นายพงษ์ศักดิ์  ไชยคุณ</v>
          </cell>
          <cell r="D99" t="str">
            <v>MR.PHONGSAK  CHAIYAKUN</v>
          </cell>
          <cell r="E99" t="str">
            <v>Male</v>
          </cell>
          <cell r="F99">
            <v>45999</v>
          </cell>
          <cell r="G99">
            <v>46059</v>
          </cell>
          <cell r="H99">
            <v>46089</v>
          </cell>
          <cell r="I99">
            <v>46118</v>
          </cell>
          <cell r="J99" t="str">
            <v>0 ปี 5 เดือน 17 วัน</v>
          </cell>
          <cell r="K99" t="str">
            <v>ซ่อมบำรุง</v>
          </cell>
          <cell r="L99" t="str">
            <v>压铸 维修摸具
โรงหล่อ ช่างซ่อมแม่พิมพ์</v>
          </cell>
          <cell r="M99" t="str">
            <v>Equipment</v>
          </cell>
          <cell r="N99">
            <v>32991</v>
          </cell>
          <cell r="O99">
            <v>36</v>
          </cell>
          <cell r="P99" t="str">
            <v>099-343-7007</v>
          </cell>
          <cell r="Q99" t="str">
            <v>1-4104-00167-09-8</v>
          </cell>
          <cell r="R99" t="str">
            <v>ไทย</v>
          </cell>
          <cell r="S99" t="str">
            <v>泰国</v>
          </cell>
          <cell r="T99" t="str">
            <v>ปวช.</v>
          </cell>
          <cell r="U99" t="str">
            <v>7  ม.2 ต.บ้านฉาง อ.บ้านฉาง จ.ระยอง</v>
          </cell>
          <cell r="V99" t="str">
            <v>7 ม.2 ต.บ้านฉาง อ.บ้านฉาง จ.ระยอง</v>
          </cell>
          <cell r="W99" t="str">
            <v>รายเดือน</v>
          </cell>
          <cell r="X99" t="str">
            <v>在职</v>
          </cell>
        </row>
        <row r="100">
          <cell r="B100">
            <v>68068</v>
          </cell>
          <cell r="C100" t="str">
            <v>นายธนานัต  ดอนลาดลี</v>
          </cell>
          <cell r="D100" t="str">
            <v>MR.TANANAT DONLADLEE</v>
          </cell>
          <cell r="E100" t="str">
            <v>Male</v>
          </cell>
          <cell r="F100">
            <v>46012</v>
          </cell>
          <cell r="G100">
            <v>46072</v>
          </cell>
          <cell r="H100">
            <v>46102</v>
          </cell>
          <cell r="I100">
            <v>46131</v>
          </cell>
          <cell r="J100" t="str">
            <v>0 ปี 5 เดือน 4 วัน</v>
          </cell>
          <cell r="K100" t="str">
            <v>พ่นสี</v>
          </cell>
          <cell r="L100" t="str">
            <v>เจ้าหน้าที่พ่นสี     喷涂</v>
          </cell>
          <cell r="M100" t="str">
            <v>Coating</v>
          </cell>
          <cell r="N100">
            <v>34013</v>
          </cell>
          <cell r="O100">
            <v>33</v>
          </cell>
          <cell r="P100" t="str">
            <v>095-763-4713</v>
          </cell>
          <cell r="Q100" t="str">
            <v>1-4604-00047-48-3</v>
          </cell>
          <cell r="R100" t="str">
            <v>ไทย</v>
          </cell>
          <cell r="S100" t="str">
            <v>泰国</v>
          </cell>
          <cell r="T100" t="str">
            <v>ม.3</v>
          </cell>
          <cell r="U100" t="str">
            <v>78 ม.5 ต.บัวหุ่ง อ.ราษีไศล จ.ศรีสะเกษ</v>
          </cell>
          <cell r="V100" t="str">
            <v>406/56 ม.2 ต.มาบยางพร อ.ปลวกแดง จ.ระยอง</v>
          </cell>
          <cell r="W100" t="str">
            <v>รายเดือน</v>
          </cell>
          <cell r="X100" t="str">
            <v>ปรับมาจากซัพฯ</v>
          </cell>
        </row>
        <row r="101">
          <cell r="B101">
            <v>69001</v>
          </cell>
          <cell r="C101" t="str">
            <v>นายกิตติศักดิ์  ดอนลาดลี</v>
          </cell>
          <cell r="D101" t="str">
            <v>MR.KITTISAK DONLADLEE</v>
          </cell>
          <cell r="E101" t="str">
            <v>Male</v>
          </cell>
          <cell r="F101">
            <v>46036</v>
          </cell>
          <cell r="G101">
            <v>46096</v>
          </cell>
          <cell r="H101">
            <v>46126</v>
          </cell>
          <cell r="I101">
            <v>46155</v>
          </cell>
          <cell r="J101" t="str">
            <v>0 ปี 4 เดือน 11 วัน</v>
          </cell>
          <cell r="K101" t="str">
            <v>พ่นสี</v>
          </cell>
          <cell r="L101" t="str">
            <v>เจ้าหน้าที่พ่นสี     喷涂</v>
          </cell>
          <cell r="M101" t="str">
            <v>Coating</v>
          </cell>
          <cell r="N101">
            <v>33322</v>
          </cell>
          <cell r="O101">
            <v>35</v>
          </cell>
          <cell r="P101" t="str">
            <v>061-576-2880</v>
          </cell>
          <cell r="Q101" t="str">
            <v>1-4604-00042-39-2</v>
          </cell>
          <cell r="R101" t="str">
            <v>ไทย</v>
          </cell>
          <cell r="S101" t="str">
            <v>泰国</v>
          </cell>
          <cell r="T101" t="str">
            <v>ม.3</v>
          </cell>
          <cell r="U101" t="str">
            <v>69 ม.7 ต.บัวคำ อ.โพธิ์ชัย จ.ร้อยเอ็ด</v>
          </cell>
          <cell r="V101" t="str">
            <v>219 ม.5 ซ.บางบ่อ ต.มาบยางพร อ.ปลวกแดง จ.ระยอง</v>
          </cell>
          <cell r="W101" t="str">
            <v>รายเดือน</v>
          </cell>
          <cell r="X101" t="str">
            <v>ผู้พิการ ประเภท 5</v>
          </cell>
        </row>
        <row r="102">
          <cell r="B102">
            <v>69005</v>
          </cell>
          <cell r="C102" t="str">
            <v>นายดำรงค์  ปัตพี</v>
          </cell>
          <cell r="D102" t="str">
            <v>MR.DAMRONG PATTAPHI</v>
          </cell>
          <cell r="E102" t="str">
            <v>Male</v>
          </cell>
          <cell r="F102">
            <v>46039</v>
          </cell>
          <cell r="G102">
            <v>46099</v>
          </cell>
          <cell r="H102">
            <v>46129</v>
          </cell>
          <cell r="I102">
            <v>46158</v>
          </cell>
          <cell r="J102" t="str">
            <v>0 ปี 4 เดือน 8 วัน</v>
          </cell>
          <cell r="K102" t="str">
            <v>Bending</v>
          </cell>
          <cell r="L102" t="str">
            <v>折弯机操作员
เจ้าหน้าที่ควบคุมเครื่องBending</v>
          </cell>
          <cell r="M102" t="str">
            <v>Bending</v>
          </cell>
          <cell r="N102">
            <v>33332</v>
          </cell>
          <cell r="O102">
            <v>35</v>
          </cell>
          <cell r="P102" t="str">
            <v>092-720-1940</v>
          </cell>
          <cell r="Q102" t="str">
            <v>1-3611-00070-21-0</v>
          </cell>
          <cell r="R102" t="str">
            <v>ไทย</v>
          </cell>
          <cell r="S102" t="str">
            <v>泰国</v>
          </cell>
          <cell r="T102" t="str">
            <v>ม.6</v>
          </cell>
          <cell r="U102" t="str">
            <v>20 ม.3 ต.บ้านเต่า อ.บ้านแท่น จ.ชัยภูมิ</v>
          </cell>
          <cell r="V102" t="str">
            <v>555/5 ม.1 ต.มาบยางพร อ.ปลวกแดง จ.ระยอง</v>
          </cell>
          <cell r="W102" t="str">
            <v>รายเดือน</v>
          </cell>
        </row>
        <row r="103">
          <cell r="B103">
            <v>69008</v>
          </cell>
          <cell r="C103" t="str">
            <v>นายวชิรวิทย์  ร่องจิต</v>
          </cell>
          <cell r="D103" t="str">
            <v>MR.WACHIRAWIT RONGJIT</v>
          </cell>
          <cell r="E103" t="str">
            <v>Male</v>
          </cell>
          <cell r="F103">
            <v>46048</v>
          </cell>
          <cell r="G103">
            <v>46108</v>
          </cell>
          <cell r="H103">
            <v>46138</v>
          </cell>
          <cell r="I103">
            <v>46167</v>
          </cell>
          <cell r="J103" t="str">
            <v>0 ปี 3 เดือน 29 วัน</v>
          </cell>
          <cell r="K103" t="str">
            <v>Production</v>
          </cell>
          <cell r="L103" t="str">
            <v>Production Engineer</v>
          </cell>
          <cell r="M103" t="str">
            <v>Production</v>
          </cell>
          <cell r="N103">
            <v>36379</v>
          </cell>
          <cell r="O103">
            <v>26</v>
          </cell>
          <cell r="P103">
            <v>949586353</v>
          </cell>
          <cell r="Q103" t="str">
            <v>1-4299-00353-26-3</v>
          </cell>
          <cell r="R103" t="str">
            <v>ไทย</v>
          </cell>
          <cell r="S103" t="str">
            <v>泰国</v>
          </cell>
          <cell r="T103" t="str">
            <v>ป.ตรี</v>
          </cell>
          <cell r="U103" t="str">
            <v>129 ม.5 หนองหิน อ.หนองหิน จ.เลย</v>
          </cell>
          <cell r="V103" t="str">
            <v>284 Grand Esie ม.4 ต.ปลวกแดง</v>
          </cell>
          <cell r="W103" t="str">
            <v>รายเดือน</v>
          </cell>
        </row>
        <row r="104">
          <cell r="B104">
            <v>69011</v>
          </cell>
          <cell r="C104" t="str">
            <v>นายธิราทร  ยศสันเทียะ</v>
          </cell>
          <cell r="D104" t="str">
            <v>MR.THIRATHON YOTSANTHIA</v>
          </cell>
          <cell r="E104" t="str">
            <v>Male</v>
          </cell>
          <cell r="F104">
            <v>46055</v>
          </cell>
          <cell r="G104">
            <v>46115</v>
          </cell>
          <cell r="H104">
            <v>46145</v>
          </cell>
          <cell r="I104">
            <v>46174</v>
          </cell>
          <cell r="J104" t="str">
            <v>0 ปี 3 เดือน 23 วัน</v>
          </cell>
          <cell r="K104" t="str">
            <v>ซ่อมบำรุง</v>
          </cell>
          <cell r="L104" t="str">
            <v>ฝ่ายซ่อมบำรุงเครื่องจักร
机械维修部</v>
          </cell>
          <cell r="M104" t="str">
            <v>Equipment</v>
          </cell>
          <cell r="N104">
            <v>38045</v>
          </cell>
          <cell r="O104">
            <v>22</v>
          </cell>
          <cell r="P104" t="str">
            <v>098-296-7115</v>
          </cell>
          <cell r="Q104" t="str">
            <v>1-3099-03130-25-8</v>
          </cell>
          <cell r="R104" t="str">
            <v>ไทย</v>
          </cell>
          <cell r="S104" t="str">
            <v>泰国</v>
          </cell>
          <cell r="T104" t="str">
            <v>ปวช.</v>
          </cell>
          <cell r="U104" t="str">
            <v>1 ม.1 ต.ค้างพลู อ.โนนไทย จ.นครราชสีมา</v>
          </cell>
          <cell r="V104" t="str">
            <v>หอพักบ้านณัฐพัชญ์ ต.มาบยางพร อ.ปลวกแดง จ.ระยอง</v>
          </cell>
          <cell r="W104" t="str">
            <v>รายเดือน</v>
          </cell>
        </row>
        <row r="105">
          <cell r="B105">
            <v>69013</v>
          </cell>
          <cell r="C105" t="str">
            <v>นางสาววนิดา วิเชียร</v>
          </cell>
          <cell r="D105" t="str">
            <v>MS.VANIDA WICHIAN</v>
          </cell>
          <cell r="E105" t="str">
            <v>Female</v>
          </cell>
          <cell r="F105">
            <v>46067</v>
          </cell>
          <cell r="G105">
            <v>46127</v>
          </cell>
          <cell r="H105">
            <v>46157</v>
          </cell>
          <cell r="I105">
            <v>46186</v>
          </cell>
          <cell r="J105" t="str">
            <v>0 ปี 3 เดือน 11 วัน</v>
          </cell>
          <cell r="K105" t="str">
            <v>ตรวจสอบคุณภาพ</v>
          </cell>
          <cell r="L105" t="str">
            <v>检验员QC
เจ้าหน้าที่ QC</v>
          </cell>
          <cell r="M105" t="str">
            <v>Quality</v>
          </cell>
          <cell r="N105">
            <v>36735</v>
          </cell>
          <cell r="O105">
            <v>25</v>
          </cell>
          <cell r="P105" t="str">
            <v>091-703-8190</v>
          </cell>
          <cell r="Q105" t="str">
            <v>1-4609-00110-55-9</v>
          </cell>
          <cell r="R105" t="str">
            <v>ไทย</v>
          </cell>
          <cell r="S105" t="str">
            <v>泰国</v>
          </cell>
          <cell r="T105" t="str">
            <v>ปวช.</v>
          </cell>
          <cell r="U105" t="str">
            <v>99 หมู่ที่ 12 ต.โนนแหลมทอง อ.สหัสขันธ์ จ.กาฬสินธุ์</v>
          </cell>
          <cell r="V105" t="str">
            <v>301/32 หมู่ที่ 4 ต.ปลวกแดง อ.ปลวกแดง จ.ระยอง</v>
          </cell>
          <cell r="W105" t="str">
            <v>รายเดือน</v>
          </cell>
        </row>
        <row r="106">
          <cell r="B106">
            <v>69015</v>
          </cell>
          <cell r="C106" t="str">
            <v>นายรณกฤต กาทอง</v>
          </cell>
          <cell r="D106" t="str">
            <v>MR.RONNAKIT KATHONG</v>
          </cell>
          <cell r="E106" t="str">
            <v>Female</v>
          </cell>
          <cell r="F106">
            <v>46069</v>
          </cell>
          <cell r="G106">
            <v>46129</v>
          </cell>
          <cell r="H106">
            <v>46159</v>
          </cell>
          <cell r="I106">
            <v>46188</v>
          </cell>
          <cell r="J106" t="str">
            <v>0 ปี 3 เดือน 9 วัน</v>
          </cell>
          <cell r="K106" t="str">
            <v>ซ่อมบำรุง</v>
          </cell>
          <cell r="L106" t="str">
            <v>维修摸具
ช่างซ่อมแม่พิมพ์</v>
          </cell>
          <cell r="M106" t="str">
            <v>Equipment</v>
          </cell>
          <cell r="N106">
            <v>37569</v>
          </cell>
          <cell r="O106">
            <v>23</v>
          </cell>
          <cell r="P106" t="str">
            <v>093-375-1793</v>
          </cell>
          <cell r="Q106" t="str">
            <v>1-1297-01275-56-7</v>
          </cell>
          <cell r="R106" t="str">
            <v>ไทย</v>
          </cell>
          <cell r="S106" t="str">
            <v>泰国</v>
          </cell>
          <cell r="T106" t="str">
            <v>ปวช.</v>
          </cell>
          <cell r="U106" t="str">
            <v>52 หมู่ที่ 9 ต.ตู่ลาด อ.ทรายมูล จ.ยโสธร</v>
          </cell>
          <cell r="V106" t="str">
            <v>968/142 หมู่ที่ 2 ต.ตาสิทธิ์ อ.ปลวกแดง จ.ระยอง</v>
          </cell>
          <cell r="W106" t="str">
            <v>รายเดือน</v>
          </cell>
        </row>
        <row r="107">
          <cell r="B107">
            <v>69016</v>
          </cell>
          <cell r="C107" t="str">
            <v>นายสุริยา  ตาเปี้ยสืบ</v>
          </cell>
          <cell r="D107" t="str">
            <v>MR.SURIYA TAPEASUEB</v>
          </cell>
          <cell r="E107" t="str">
            <v>Female</v>
          </cell>
          <cell r="F107">
            <v>46070</v>
          </cell>
          <cell r="G107">
            <v>46130</v>
          </cell>
          <cell r="H107">
            <v>46160</v>
          </cell>
          <cell r="I107">
            <v>46189</v>
          </cell>
          <cell r="J107" t="str">
            <v>0 ปี 3 เดือน 8 วัน</v>
          </cell>
          <cell r="K107" t="str">
            <v>CNC</v>
          </cell>
          <cell r="L107" t="str">
            <v>CNC Leader</v>
          </cell>
          <cell r="M107" t="str">
            <v>CNC</v>
          </cell>
          <cell r="N107">
            <v>34346</v>
          </cell>
          <cell r="O107">
            <v>32</v>
          </cell>
          <cell r="P107" t="str">
            <v>080-129-1697</v>
          </cell>
          <cell r="Q107" t="str">
            <v>1-5202-00044-90-1</v>
          </cell>
          <cell r="R107" t="str">
            <v>ไทย</v>
          </cell>
          <cell r="S107" t="str">
            <v>泰国</v>
          </cell>
          <cell r="T107" t="str">
            <v>ปวส.</v>
          </cell>
          <cell r="U107" t="str">
            <v>84 ม.2 ต.นาสัก อ.แม่เมาะ จ.ลำปาง</v>
          </cell>
          <cell r="V107" t="str">
            <v>363 ม.3 ต.มาบยางพร อ.ปลวกแดง จ.ระยอง</v>
          </cell>
          <cell r="W107" t="str">
            <v>รายเดือน</v>
          </cell>
        </row>
        <row r="108">
          <cell r="B108">
            <v>69017</v>
          </cell>
          <cell r="C108" t="str">
            <v>นางสาวสิราวรรณ ประเสริฐสังข์</v>
          </cell>
          <cell r="D108" t="str">
            <v>MS.SIRAWAN PRASROETHSANG</v>
          </cell>
          <cell r="E108" t="str">
            <v>Female</v>
          </cell>
          <cell r="F108">
            <v>46074</v>
          </cell>
          <cell r="G108">
            <v>46134</v>
          </cell>
          <cell r="H108">
            <v>46164</v>
          </cell>
          <cell r="I108">
            <v>46193</v>
          </cell>
          <cell r="J108" t="str">
            <v>0 ปี 3 เดือน 4 วัน</v>
          </cell>
          <cell r="K108" t="str">
            <v>ประกอบ</v>
          </cell>
          <cell r="L108" t="str">
            <v>组装H9
เจ้าหน้าที่ประกอบH9</v>
          </cell>
          <cell r="M108" t="str">
            <v>Assembly</v>
          </cell>
          <cell r="N108">
            <v>36418</v>
          </cell>
          <cell r="O108">
            <v>26</v>
          </cell>
          <cell r="P108" t="str">
            <v>092-867-9171</v>
          </cell>
          <cell r="Q108" t="str">
            <v>1-3610-00317-07-8</v>
          </cell>
          <cell r="R108" t="str">
            <v>ไทย</v>
          </cell>
          <cell r="S108" t="str">
            <v>泰国</v>
          </cell>
          <cell r="T108" t="str">
            <v>ปวช.</v>
          </cell>
          <cell r="U108" t="str">
            <v>409 ม.9 ต.ธาตุทอง อ.ภูเขียว จ.ชัยภูมิ</v>
          </cell>
          <cell r="V108" t="str">
            <v>306/16 ม.2 ซ.มาบยางพร18 ต.มาบยางพร อ.ปลวกแดง จ.ระยอง</v>
          </cell>
          <cell r="W108" t="str">
            <v>รายเดือน</v>
          </cell>
          <cell r="X108" t="str">
            <v>ปรับมาจากซัพฯ</v>
          </cell>
        </row>
        <row r="109">
          <cell r="B109">
            <v>69021</v>
          </cell>
          <cell r="C109" t="str">
            <v>นายจักรินทร์  คะสาร</v>
          </cell>
          <cell r="D109" t="str">
            <v>MR.JAKKARIN KASAN</v>
          </cell>
          <cell r="E109" t="str">
            <v>Male</v>
          </cell>
          <cell r="F109">
            <v>46074</v>
          </cell>
          <cell r="G109">
            <v>46134</v>
          </cell>
          <cell r="H109">
            <v>46164</v>
          </cell>
          <cell r="I109">
            <v>46193</v>
          </cell>
          <cell r="J109" t="str">
            <v>0 ปี 3 เดือน 4 วัน</v>
          </cell>
          <cell r="K109" t="str">
            <v>Stamping</v>
          </cell>
          <cell r="L109" t="str">
            <v>冲压操作工300T
เจ้าหน้าที่ปั๊มงาน300ตัน</v>
          </cell>
          <cell r="M109" t="str">
            <v>Stamping</v>
          </cell>
          <cell r="N109">
            <v>37354</v>
          </cell>
          <cell r="O109">
            <v>24</v>
          </cell>
          <cell r="P109" t="str">
            <v>061-572-2246</v>
          </cell>
          <cell r="Q109" t="str">
            <v>1-3994-00009-39-4</v>
          </cell>
          <cell r="R109" t="str">
            <v>ไทย</v>
          </cell>
          <cell r="S109" t="str">
            <v>泰国</v>
          </cell>
          <cell r="T109" t="str">
            <v>ม.6</v>
          </cell>
          <cell r="U109" t="str">
            <v>88 ม.5 ต.เก่ากลอย อ.นากลาง จ.หนองบัวลำภู</v>
          </cell>
          <cell r="V109" t="str">
            <v>26/86 ม.2 ซ.13 ต.มะขามคู่ อ.นิคมพัฒนา จ.ระยอง</v>
          </cell>
          <cell r="W109" t="str">
            <v>รายเดือน</v>
          </cell>
          <cell r="X109" t="str">
            <v>ปรับมาจากซัพฯ</v>
          </cell>
        </row>
        <row r="110">
          <cell r="B110">
            <v>69022</v>
          </cell>
          <cell r="C110" t="str">
            <v>นายนัฐวุฒิ  เสย์</v>
          </cell>
          <cell r="D110" t="str">
            <v>MR.NATTHAWUT SAY</v>
          </cell>
          <cell r="E110" t="str">
            <v>Male</v>
          </cell>
          <cell r="F110">
            <v>46074</v>
          </cell>
          <cell r="G110">
            <v>46134</v>
          </cell>
          <cell r="H110">
            <v>46164</v>
          </cell>
          <cell r="I110">
            <v>46193</v>
          </cell>
          <cell r="J110" t="str">
            <v>0 ปี 3 เดือน 4 วัน</v>
          </cell>
          <cell r="K110" t="str">
            <v>Stamping</v>
          </cell>
          <cell r="L110" t="str">
            <v>冲压操作工150T
เจ้าหน้าที่ปั๊มงาน150ตัน</v>
          </cell>
          <cell r="M110" t="str">
            <v>Stamping</v>
          </cell>
          <cell r="N110">
            <v>34115</v>
          </cell>
          <cell r="O110">
            <v>32</v>
          </cell>
          <cell r="P110" t="str">
            <v>094-876-4668</v>
          </cell>
          <cell r="Q110" t="str">
            <v>1-4803-00135-38-1</v>
          </cell>
          <cell r="R110" t="str">
            <v>ไทย</v>
          </cell>
          <cell r="S110" t="str">
            <v>泰国</v>
          </cell>
          <cell r="T110" t="str">
            <v>ม.3</v>
          </cell>
          <cell r="U110" t="str">
            <v>71 หมู่ที่ 8 ต.ท่าตูม อ.ท่าตูม จ.สุรินทร์</v>
          </cell>
          <cell r="V110" t="str">
            <v>295 ม.6 ต.มาบยางพร อ.ปลวกแดง จ.ระยอง 21140</v>
          </cell>
          <cell r="W110" t="str">
            <v>รายเดือน</v>
          </cell>
          <cell r="X110" t="str">
            <v>ปรับมาจากซัพฯ</v>
          </cell>
        </row>
        <row r="111">
          <cell r="B111">
            <v>69025</v>
          </cell>
          <cell r="C111" t="str">
            <v>นางสาววิภาวี  พันธุมาตร์</v>
          </cell>
          <cell r="D111" t="str">
            <v>MS.WIPHAWI PHANTHAMAT</v>
          </cell>
          <cell r="E111" t="str">
            <v>Female</v>
          </cell>
          <cell r="F111">
            <v>46077</v>
          </cell>
          <cell r="G111">
            <v>46137</v>
          </cell>
          <cell r="H111">
            <v>46167</v>
          </cell>
          <cell r="I111">
            <v>46196</v>
          </cell>
          <cell r="J111" t="str">
            <v>0 ปี 3 เดือน 1 วัน</v>
          </cell>
          <cell r="K111" t="str">
            <v>ตรวจสอบคุณภาพ</v>
          </cell>
          <cell r="L111" t="str">
            <v>检验员QC
เจ้าหน้าที่ QC</v>
          </cell>
          <cell r="M111" t="str">
            <v>Quality</v>
          </cell>
          <cell r="N111">
            <v>36386</v>
          </cell>
          <cell r="O111">
            <v>26</v>
          </cell>
          <cell r="P111" t="str">
            <v>090-220-0249</v>
          </cell>
          <cell r="Q111" t="str">
            <v>1-2104-00071-75-1</v>
          </cell>
          <cell r="R111" t="str">
            <v>ไทย</v>
          </cell>
          <cell r="S111" t="str">
            <v>泰国</v>
          </cell>
          <cell r="T111" t="str">
            <v>ปวส.</v>
          </cell>
          <cell r="U111" t="str">
            <v>146 ม.13 ต.กกตูม อ.ดงหลวง จ.มุกดาหาร</v>
          </cell>
          <cell r="V111" t="str">
            <v>146/13 บ้านแก่งนาง ต.กกตูม อ.ดงหลวง จ.มุกดาหาร</v>
          </cell>
          <cell r="W111" t="str">
            <v>รายเดือน</v>
          </cell>
        </row>
        <row r="112">
          <cell r="B112">
            <v>69029</v>
          </cell>
          <cell r="C112" t="str">
            <v>นายณัฐวุฒิ ลาวรรณ</v>
          </cell>
          <cell r="D112" t="str">
            <v>MR.NATTHAWUT LAWAN</v>
          </cell>
          <cell r="E112" t="str">
            <v>Male</v>
          </cell>
          <cell r="F112">
            <v>46083</v>
          </cell>
          <cell r="G112">
            <v>46143</v>
          </cell>
          <cell r="H112">
            <v>46173</v>
          </cell>
          <cell r="I112">
            <v>46202</v>
          </cell>
          <cell r="J112" t="str">
            <v>0 ปี 2 เดือน 23 วัน</v>
          </cell>
          <cell r="K112" t="str">
            <v>ตรวจสอบคุณภาพ</v>
          </cell>
          <cell r="L112" t="str">
            <v>检验员QC
เจ้าหน้าที่ QC</v>
          </cell>
          <cell r="M112" t="str">
            <v>Quality</v>
          </cell>
          <cell r="N112">
            <v>32866</v>
          </cell>
          <cell r="O112">
            <v>36</v>
          </cell>
          <cell r="P112" t="str">
            <v>088-317-4240</v>
          </cell>
          <cell r="Q112" t="str">
            <v>1-4511-00158-32-9</v>
          </cell>
          <cell r="R112" t="str">
            <v>ไทย</v>
          </cell>
          <cell r="S112" t="str">
            <v>泰国</v>
          </cell>
          <cell r="T112" t="str">
            <v>ปวส.</v>
          </cell>
          <cell r="U112" t="str">
            <v>236 ม.13 ต.นาใหญ่ อ.สุวรรณภูมิ จ.ร้อยเอ็ด</v>
          </cell>
          <cell r="V112" t="str">
            <v>ดีซีแมนชั่น 321 ม.6 ถ.อมตะซิตี้ ต.มาบยางพร อ.ปลวกแดง จ.ระยอง 21140</v>
          </cell>
          <cell r="W112" t="str">
            <v>รายเดือน</v>
          </cell>
        </row>
        <row r="113">
          <cell r="B113">
            <v>69030</v>
          </cell>
          <cell r="C113" t="str">
            <v>นายอนันทการณ์ กงชุย</v>
          </cell>
          <cell r="D113" t="str">
            <v>MR.ANANTAKAN KONGSUY</v>
          </cell>
          <cell r="E113" t="str">
            <v>Male</v>
          </cell>
          <cell r="F113">
            <v>46085</v>
          </cell>
          <cell r="G113">
            <v>46145</v>
          </cell>
          <cell r="H113">
            <v>46175</v>
          </cell>
          <cell r="I113">
            <v>46204</v>
          </cell>
          <cell r="J113" t="str">
            <v>0 ปี 2 เดือน 21 วัน</v>
          </cell>
          <cell r="K113" t="str">
            <v>ซ่อมบำรุง</v>
          </cell>
          <cell r="L113" t="str">
            <v>ฝ่ายซ่อมบำรุงเครื่องจักร
机械维修部</v>
          </cell>
          <cell r="M113" t="str">
            <v>Equipment</v>
          </cell>
          <cell r="N113">
            <v>38151</v>
          </cell>
          <cell r="O113">
            <v>21</v>
          </cell>
          <cell r="P113" t="str">
            <v>091-723-5853</v>
          </cell>
          <cell r="Q113" t="str">
            <v>1-3681-00026-15-2</v>
          </cell>
          <cell r="R113" t="str">
            <v>ไทย</v>
          </cell>
          <cell r="S113" t="str">
            <v>泰国</v>
          </cell>
          <cell r="T113" t="str">
            <v>ปวส.</v>
          </cell>
          <cell r="U113" t="str">
            <v>236 ม.9 ต.หนองไผ่ อ.แก้งคร้อ จ.ชัยภูมิ</v>
          </cell>
          <cell r="V113" t="str">
            <v>237 ม.9 ต.หนองไผ่ อ.แก้งคร้อ จ.ชัยภูมิ</v>
          </cell>
          <cell r="W113" t="str">
            <v>รายเดือน</v>
          </cell>
        </row>
        <row r="114">
          <cell r="B114">
            <v>69031</v>
          </cell>
          <cell r="C114" t="str">
            <v>นายภรัณยู  สอนเสนา</v>
          </cell>
          <cell r="D114" t="str">
            <v>MR.PARANYU SONSENA</v>
          </cell>
          <cell r="E114" t="str">
            <v>Male</v>
          </cell>
          <cell r="F114">
            <v>46085</v>
          </cell>
          <cell r="G114">
            <v>46145</v>
          </cell>
          <cell r="H114">
            <v>46175</v>
          </cell>
          <cell r="I114">
            <v>46204</v>
          </cell>
          <cell r="J114" t="str">
            <v>0 ปี 2 เดือน 21 วัน</v>
          </cell>
          <cell r="K114" t="str">
            <v>ซ่อมบำรุง</v>
          </cell>
          <cell r="L114" t="str">
            <v>维修摸具
ช่างซ่อมแม่พิมพ์</v>
          </cell>
          <cell r="M114" t="str">
            <v>Equipment</v>
          </cell>
          <cell r="N114">
            <v>34605</v>
          </cell>
          <cell r="O114">
            <v>31</v>
          </cell>
          <cell r="P114" t="str">
            <v>093-952-0981</v>
          </cell>
          <cell r="Q114" t="str">
            <v>1-4099-01217-66-5</v>
          </cell>
          <cell r="R114" t="str">
            <v>ไทย</v>
          </cell>
          <cell r="S114" t="str">
            <v>泰国</v>
          </cell>
          <cell r="T114" t="str">
            <v>ปวส.</v>
          </cell>
          <cell r="U114" t="str">
            <v>82 ม.7 ต.เลิงใต้ อ.โกสุมพิสัย จ.มหาสารคาม</v>
          </cell>
          <cell r="V114" t="str">
            <v>495/3 ม.4 ต.พนานิคม อ.นิคมพัฒนา จ.ระยอง</v>
          </cell>
          <cell r="W114" t="str">
            <v>รายเดือน</v>
          </cell>
        </row>
        <row r="115">
          <cell r="B115">
            <v>69032</v>
          </cell>
          <cell r="C115" t="str">
            <v>นายธนพล การกระสัง</v>
          </cell>
          <cell r="D115" t="str">
            <v>MR.THANAPOL KANKRASANG</v>
          </cell>
          <cell r="E115" t="str">
            <v>Male</v>
          </cell>
          <cell r="F115">
            <v>46086</v>
          </cell>
          <cell r="G115">
            <v>46146</v>
          </cell>
          <cell r="H115">
            <v>46176</v>
          </cell>
          <cell r="I115">
            <v>46205</v>
          </cell>
          <cell r="J115" t="str">
            <v>0 ปี 2 เดือน 20 วัน</v>
          </cell>
          <cell r="K115" t="str">
            <v>ตรวจสอบคุณภาพ</v>
          </cell>
          <cell r="L115" t="str">
            <v>QA Engineer</v>
          </cell>
          <cell r="M115" t="str">
            <v>Quality</v>
          </cell>
          <cell r="N115">
            <v>35704</v>
          </cell>
          <cell r="O115">
            <v>28</v>
          </cell>
          <cell r="P115" t="str">
            <v>093-184-8262</v>
          </cell>
          <cell r="Q115" t="str">
            <v>1-4807-0018-87-6</v>
          </cell>
          <cell r="R115" t="str">
            <v>ไทย</v>
          </cell>
          <cell r="S115" t="str">
            <v>泰国</v>
          </cell>
          <cell r="T115" t="str">
            <v>ป.ตรี</v>
          </cell>
          <cell r="U115" t="str">
            <v>300 ม.14 บ้านนดอนคราม ต.ก้านเหลือ อ.นาแก จ.นครพนม</v>
          </cell>
          <cell r="V115" t="str">
            <v>99/99 หอพักเดอะโจ๊ก ถ.สุขุมวิท23 ต.มาบตาพุด อ.เมือง จ.ระยอง</v>
          </cell>
          <cell r="W115" t="str">
            <v>รายเดือน</v>
          </cell>
        </row>
        <row r="116">
          <cell r="B116">
            <v>69033</v>
          </cell>
          <cell r="C116" t="str">
            <v>นายอำนวยชัย แหวนเงิน</v>
          </cell>
          <cell r="D116" t="str">
            <v>MR.AMNUAICHAI WAENGOEN</v>
          </cell>
          <cell r="E116" t="str">
            <v>Male</v>
          </cell>
          <cell r="F116">
            <v>46087</v>
          </cell>
          <cell r="G116">
            <v>46147</v>
          </cell>
          <cell r="H116">
            <v>46177</v>
          </cell>
          <cell r="I116">
            <v>46206</v>
          </cell>
          <cell r="J116" t="str">
            <v>0 ปี 2 เดือน 19 วัน</v>
          </cell>
          <cell r="K116" t="str">
            <v>ซ่อมบำรุง</v>
          </cell>
          <cell r="L116" t="str">
            <v>ช่างซ่อมบำรุง
维修技术员</v>
          </cell>
          <cell r="M116" t="str">
            <v>Equipment</v>
          </cell>
          <cell r="N116">
            <v>34959</v>
          </cell>
          <cell r="O116">
            <v>30</v>
          </cell>
          <cell r="P116" t="str">
            <v>093-079-2373</v>
          </cell>
          <cell r="Q116" t="str">
            <v>1-3307-00157-75-7</v>
          </cell>
          <cell r="R116" t="str">
            <v>ไทย</v>
          </cell>
          <cell r="S116" t="str">
            <v>泰国</v>
          </cell>
          <cell r="T116" t="str">
            <v>ป.ตรี</v>
          </cell>
          <cell r="U116" t="str">
            <v>7 หมู่ที่ 5 ต.กู่ อ.ปรางค์กู่ จ.ศรีสะเกษ</v>
          </cell>
          <cell r="V116" t="str">
            <v>83 หมู่ที่ 6 ต.มาบยางพร อ.ปลวกแดง จ.ระยอง</v>
          </cell>
          <cell r="W116" t="str">
            <v>รายเดือน</v>
          </cell>
        </row>
        <row r="117">
          <cell r="B117">
            <v>69034</v>
          </cell>
          <cell r="C117" t="str">
            <v>นายอดิศักดิ์ สีแสง</v>
          </cell>
          <cell r="D117" t="str">
            <v>MR.ADISAK SEESAENG</v>
          </cell>
          <cell r="E117" t="str">
            <v>Male</v>
          </cell>
          <cell r="F117">
            <v>46090</v>
          </cell>
          <cell r="G117">
            <v>46150</v>
          </cell>
          <cell r="H117">
            <v>46180</v>
          </cell>
          <cell r="I117">
            <v>46209</v>
          </cell>
          <cell r="J117" t="str">
            <v>0 ปี 2 เดือน 16 วัน</v>
          </cell>
          <cell r="K117" t="str">
            <v>คลังสินค้า</v>
          </cell>
          <cell r="L117" t="str">
            <v>仓库管理员
คลังสินค้า (ขับโฟร์คลิฟท์)</v>
          </cell>
          <cell r="M117" t="str">
            <v>Warehouse</v>
          </cell>
          <cell r="N117">
            <v>34704</v>
          </cell>
          <cell r="O117">
            <v>31</v>
          </cell>
          <cell r="P117" t="str">
            <v>083-797-9761</v>
          </cell>
          <cell r="Q117" t="str">
            <v>1-1018-00712-15-1</v>
          </cell>
          <cell r="R117" t="str">
            <v>ไทย</v>
          </cell>
          <cell r="S117" t="str">
            <v>泰国</v>
          </cell>
          <cell r="T117" t="str">
            <v>ม.6</v>
          </cell>
          <cell r="U117" t="str">
            <v>2999/29 ม.6 ต.มาบยางพร อ.ปลวกแดง จ.ระยอง</v>
          </cell>
          <cell r="V117" t="str">
            <v>2999/29 ม.6 ต.มาบยางพร อ.ปลวกแดง จ.ระยอง</v>
          </cell>
          <cell r="W117" t="str">
            <v>รายเดือน</v>
          </cell>
        </row>
        <row r="118">
          <cell r="B118">
            <v>69035</v>
          </cell>
          <cell r="C118" t="str">
            <v>นายอนุสรณ์ จิตณรงค์</v>
          </cell>
          <cell r="D118" t="str">
            <v>MR.ANUSORN JITNARONG</v>
          </cell>
          <cell r="E118" t="str">
            <v>Male</v>
          </cell>
          <cell r="F118">
            <v>46097</v>
          </cell>
          <cell r="G118">
            <v>46157</v>
          </cell>
          <cell r="H118">
            <v>46187</v>
          </cell>
          <cell r="I118">
            <v>46216</v>
          </cell>
          <cell r="J118" t="str">
            <v>0 ปี 2 เดือน 9 วัน</v>
          </cell>
          <cell r="K118" t="str">
            <v>ซ่อมบำรุง</v>
          </cell>
          <cell r="L118" t="str">
            <v>维修摸具
ช่างซ่อมแม่พิมพ์</v>
          </cell>
          <cell r="M118" t="str">
            <v>Equipment</v>
          </cell>
          <cell r="N118">
            <v>36387</v>
          </cell>
          <cell r="O118">
            <v>26</v>
          </cell>
          <cell r="P118" t="str">
            <v>092-406-9104</v>
          </cell>
          <cell r="Q118" t="str">
            <v>1-3210-00403-31-4</v>
          </cell>
          <cell r="R118" t="str">
            <v>ไทย</v>
          </cell>
          <cell r="S118" t="str">
            <v>泰国</v>
          </cell>
          <cell r="T118" t="str">
            <v>ม.6</v>
          </cell>
          <cell r="U118" t="str">
            <v>56 ม.12 ต.สะกาด อ.สังขะ จ.สุรินทร์</v>
          </cell>
          <cell r="V118" t="str">
            <v>312/286 ม.5 ต.เขาไม้แก้ว อ.บางละมุง จ.ชลบุรี</v>
          </cell>
          <cell r="W118" t="str">
            <v>รายเดือน</v>
          </cell>
        </row>
        <row r="119">
          <cell r="B119">
            <v>69038</v>
          </cell>
          <cell r="C119" t="str">
            <v>MR.SU,PENGFEI</v>
          </cell>
          <cell r="D119" t="str">
            <v>MR.SU,PENGFEI</v>
          </cell>
          <cell r="E119" t="str">
            <v>Male</v>
          </cell>
          <cell r="F119">
            <v>46087</v>
          </cell>
          <cell r="G119">
            <v>46147</v>
          </cell>
          <cell r="H119">
            <v>46177</v>
          </cell>
          <cell r="I119">
            <v>46206</v>
          </cell>
          <cell r="J119" t="str">
            <v>0 ปี 2 เดือน 19 วัน</v>
          </cell>
          <cell r="K119" t="str">
            <v>ตรวจสอบคุณภาพ</v>
          </cell>
          <cell r="L119" t="str">
            <v>QC Engineer</v>
          </cell>
          <cell r="M119" t="str">
            <v>Quality</v>
          </cell>
          <cell r="N119">
            <v>34315</v>
          </cell>
          <cell r="O119">
            <v>32</v>
          </cell>
          <cell r="Q119" t="str">
            <v>ER3467402</v>
          </cell>
          <cell r="R119" t="str">
            <v>CHINESE</v>
          </cell>
          <cell r="S119" t="str">
            <v>中国籍</v>
          </cell>
          <cell r="W119" t="str">
            <v>รายเดือน</v>
          </cell>
        </row>
        <row r="120">
          <cell r="B120">
            <v>69039</v>
          </cell>
          <cell r="C120" t="str">
            <v>MR.JIANG,AIDONG</v>
          </cell>
          <cell r="D120" t="str">
            <v>MR.JIANG,AIDONG</v>
          </cell>
          <cell r="E120" t="str">
            <v>Male</v>
          </cell>
          <cell r="F120">
            <v>46087</v>
          </cell>
          <cell r="G120">
            <v>46147</v>
          </cell>
          <cell r="H120">
            <v>46177</v>
          </cell>
          <cell r="I120">
            <v>46206</v>
          </cell>
          <cell r="J120" t="str">
            <v>0 ปี 2 เดือน 19 วัน</v>
          </cell>
          <cell r="K120" t="str">
            <v>ตรวจสอบคุณภาพ</v>
          </cell>
          <cell r="L120" t="str">
            <v>QC Engineer</v>
          </cell>
          <cell r="M120" t="str">
            <v>Quality</v>
          </cell>
          <cell r="N120">
            <v>33923</v>
          </cell>
          <cell r="O120">
            <v>33</v>
          </cell>
          <cell r="Q120" t="str">
            <v>ER3467405</v>
          </cell>
          <cell r="R120" t="str">
            <v>CHINESE</v>
          </cell>
          <cell r="S120" t="str">
            <v>中国籍</v>
          </cell>
          <cell r="W120" t="str">
            <v>รายเดือน</v>
          </cell>
        </row>
        <row r="121">
          <cell r="B121">
            <v>69040</v>
          </cell>
          <cell r="C121" t="str">
            <v>MS.ZHAO,SHOUZHU</v>
          </cell>
          <cell r="D121" t="str">
            <v>MS.ZHAO,SHOUZHU</v>
          </cell>
          <cell r="E121" t="str">
            <v>Female</v>
          </cell>
          <cell r="F121">
            <v>46087</v>
          </cell>
          <cell r="G121">
            <v>46147</v>
          </cell>
          <cell r="H121">
            <v>46177</v>
          </cell>
          <cell r="I121">
            <v>46206</v>
          </cell>
          <cell r="J121" t="str">
            <v>0 ปี 2 เดือน 19 วัน</v>
          </cell>
          <cell r="K121" t="str">
            <v>ตรวจสอบคุณภาพ</v>
          </cell>
          <cell r="L121" t="str">
            <v>质量检验专员เจ้าหน้าที่ QC</v>
          </cell>
          <cell r="M121" t="str">
            <v>Quality</v>
          </cell>
          <cell r="N121">
            <v>37108</v>
          </cell>
          <cell r="O121">
            <v>24</v>
          </cell>
          <cell r="P121" t="str">
            <v>096-546-2443</v>
          </cell>
          <cell r="Q121" t="str">
            <v>EJ1888365</v>
          </cell>
          <cell r="R121" t="str">
            <v>CHINESE</v>
          </cell>
          <cell r="S121" t="str">
            <v>中国籍</v>
          </cell>
          <cell r="W121" t="str">
            <v>รายเดือน</v>
          </cell>
          <cell r="Y121" t="str">
            <v>zhaoshouzhu@tjjinrong.com</v>
          </cell>
        </row>
        <row r="122">
          <cell r="B122">
            <v>69041</v>
          </cell>
          <cell r="C122" t="str">
            <v>MS.WAN,LIYU</v>
          </cell>
          <cell r="D122" t="str">
            <v>MS.WAN,LIYU</v>
          </cell>
          <cell r="E122" t="str">
            <v>Female</v>
          </cell>
          <cell r="F122">
            <v>46087</v>
          </cell>
          <cell r="G122">
            <v>46147</v>
          </cell>
          <cell r="H122">
            <v>46177</v>
          </cell>
          <cell r="I122">
            <v>46206</v>
          </cell>
          <cell r="J122" t="str">
            <v>0 ปี 2 เดือน 19 วัน</v>
          </cell>
          <cell r="K122" t="str">
            <v>ตรวจสอบคุณภาพ</v>
          </cell>
          <cell r="L122" t="str">
            <v>质量检验专员เจ้าหน้าที่ QC</v>
          </cell>
          <cell r="M122" t="str">
            <v>Quality</v>
          </cell>
          <cell r="N122">
            <v>37364</v>
          </cell>
          <cell r="O122">
            <v>24</v>
          </cell>
          <cell r="P122" t="str">
            <v>095-775-4290</v>
          </cell>
          <cell r="Q122" t="str">
            <v>EJ7565772</v>
          </cell>
          <cell r="R122" t="str">
            <v>CHINESE</v>
          </cell>
          <cell r="S122" t="str">
            <v>中国籍</v>
          </cell>
          <cell r="W122" t="str">
            <v>รายเดือน</v>
          </cell>
          <cell r="Y122" t="str">
            <v>1661791292@qq.com</v>
          </cell>
        </row>
        <row r="123">
          <cell r="B123">
            <v>69042</v>
          </cell>
          <cell r="C123" t="str">
            <v>นางสาวมลิวัลย์ มาโสภา</v>
          </cell>
          <cell r="D123" t="str">
            <v>MS.MALIWAN MASOPA</v>
          </cell>
          <cell r="E123" t="str">
            <v>Female</v>
          </cell>
          <cell r="F123">
            <v>46102</v>
          </cell>
          <cell r="G123">
            <v>46162</v>
          </cell>
          <cell r="H123">
            <v>46192</v>
          </cell>
          <cell r="I123">
            <v>46221</v>
          </cell>
          <cell r="J123" t="str">
            <v>0 ปี 2 เดือน 4 วัน</v>
          </cell>
          <cell r="K123" t="str">
            <v>คลังสินค้า</v>
          </cell>
          <cell r="L123" t="str">
            <v>挑选เจ้าหน้าที่คัดงาน</v>
          </cell>
          <cell r="M123" t="str">
            <v>Warehouse</v>
          </cell>
          <cell r="N123">
            <v>35761</v>
          </cell>
          <cell r="O123">
            <v>28</v>
          </cell>
          <cell r="P123" t="str">
            <v>093-065-5605</v>
          </cell>
          <cell r="Q123" t="str">
            <v>1-4099-01615-13-0</v>
          </cell>
          <cell r="R123" t="str">
            <v>ไทย</v>
          </cell>
          <cell r="S123" t="str">
            <v>泰国</v>
          </cell>
          <cell r="T123" t="str">
            <v>ป.ตรี</v>
          </cell>
          <cell r="U123" t="str">
            <v>62 ม.7 ต.หัวขวาง อ.โกสุมพิสัย จ.มหาสารคาม</v>
          </cell>
          <cell r="V123" t="str">
            <v>274/7 ม.2 ต.มะขามคู่ อ.นิคมพัฒนา จ.ระยอง</v>
          </cell>
          <cell r="W123" t="str">
            <v>รายเดือน</v>
          </cell>
        </row>
        <row r="124">
          <cell r="B124">
            <v>69046</v>
          </cell>
          <cell r="C124" t="str">
            <v>นายอานุภาพ ชาววงค์</v>
          </cell>
          <cell r="D124" t="str">
            <v>MR.ARNUPAP CHAOWONG</v>
          </cell>
          <cell r="E124" t="str">
            <v>Male</v>
          </cell>
          <cell r="F124">
            <v>46104</v>
          </cell>
          <cell r="G124">
            <v>46164</v>
          </cell>
          <cell r="H124">
            <v>46194</v>
          </cell>
          <cell r="I124">
            <v>46223</v>
          </cell>
          <cell r="J124" t="str">
            <v>0 ปี 2 เดือน 2 วัน</v>
          </cell>
          <cell r="K124" t="str">
            <v>ซ่อมบำรุง</v>
          </cell>
          <cell r="L124" t="str">
            <v>万能工 ช่างทั่วไป</v>
          </cell>
          <cell r="M124" t="str">
            <v>Equipment</v>
          </cell>
          <cell r="N124">
            <v>37166</v>
          </cell>
          <cell r="O124">
            <v>24</v>
          </cell>
          <cell r="P124" t="str">
            <v>088-620-8618</v>
          </cell>
          <cell r="Q124" t="str">
            <v>1-6702-01282-34-1</v>
          </cell>
          <cell r="R124" t="str">
            <v>ไทย</v>
          </cell>
          <cell r="S124" t="str">
            <v>泰国</v>
          </cell>
          <cell r="T124" t="str">
            <v>ปวส.</v>
          </cell>
          <cell r="U124" t="str">
            <v>108 ม.6 ต.ลาดแก อ.ชนแดน จ.เพชรบูรณ์</v>
          </cell>
          <cell r="V124" t="str">
            <v>14/15 ม.8 พนานิคม อ.นิคมพัฒนา จ.ระยอง</v>
          </cell>
          <cell r="W124" t="str">
            <v>รายเดือน</v>
          </cell>
        </row>
        <row r="125">
          <cell r="B125">
            <v>69048</v>
          </cell>
          <cell r="C125" t="str">
            <v>นายวรวุฒิ นนธิจันทร์</v>
          </cell>
          <cell r="D125" t="str">
            <v>MR.WORAWOOT NONTHICHAN</v>
          </cell>
          <cell r="E125" t="str">
            <v>Male</v>
          </cell>
          <cell r="F125">
            <v>46106</v>
          </cell>
          <cell r="G125">
            <v>46166</v>
          </cell>
          <cell r="H125">
            <v>46196</v>
          </cell>
          <cell r="I125">
            <v>46225</v>
          </cell>
          <cell r="J125" t="str">
            <v>0 ปี 2 เดือน 0 วัน</v>
          </cell>
          <cell r="K125" t="str">
            <v>ตรวจสอบคุณภาพ</v>
          </cell>
          <cell r="L125" t="str">
            <v>Quality Supervisor</v>
          </cell>
          <cell r="M125" t="str">
            <v>Quality</v>
          </cell>
          <cell r="N125">
            <v>30779</v>
          </cell>
          <cell r="O125">
            <v>42</v>
          </cell>
          <cell r="P125" t="str">
            <v>081-3292810</v>
          </cell>
          <cell r="Q125" t="str">
            <v>1-3206-00007-49-4</v>
          </cell>
          <cell r="R125" t="str">
            <v>ไทย</v>
          </cell>
          <cell r="S125" t="str">
            <v>泰国</v>
          </cell>
          <cell r="T125" t="str">
            <v>ป.ตรี</v>
          </cell>
          <cell r="U125" t="str">
            <v>181 ม.5 ต.ด่าน อ.กาบเชิง จ.สุรินทร์</v>
          </cell>
          <cell r="V125" t="str">
            <v>99/ ม.7 ต.บ่อวิน อ.ศรีราชา จ.ชลบุรี</v>
          </cell>
          <cell r="W125" t="str">
            <v>รายเดือน</v>
          </cell>
        </row>
        <row r="126">
          <cell r="B126">
            <v>69050</v>
          </cell>
          <cell r="C126" t="str">
            <v>นางสาวสุวรรณา หลวงพิบูลย์</v>
          </cell>
          <cell r="D126" t="str">
            <v>MS.SUWANNA LAUNGPHIBOON</v>
          </cell>
          <cell r="E126" t="str">
            <v>Female</v>
          </cell>
          <cell r="F126">
            <v>46111</v>
          </cell>
          <cell r="G126">
            <v>46171</v>
          </cell>
          <cell r="H126">
            <v>46201</v>
          </cell>
          <cell r="I126">
            <v>46230</v>
          </cell>
          <cell r="J126" t="str">
            <v>0 ปี 1 เดือน 25 วัน</v>
          </cell>
          <cell r="K126" t="str">
            <v>ตรวจสอบคุณภาพ</v>
          </cell>
          <cell r="L126" t="str">
            <v>质量检验专员เจ้าหน้าที่ QC</v>
          </cell>
          <cell r="M126" t="str">
            <v>Quality</v>
          </cell>
          <cell r="N126">
            <v>37988</v>
          </cell>
          <cell r="O126">
            <v>22</v>
          </cell>
          <cell r="P126" t="str">
            <v>081-106-7445</v>
          </cell>
          <cell r="Q126" t="str">
            <v>1-4098-00477-76-9</v>
          </cell>
          <cell r="R126" t="str">
            <v>ไทย</v>
          </cell>
          <cell r="S126" t="str">
            <v>泰国</v>
          </cell>
          <cell r="T126" t="str">
            <v>ม.3</v>
          </cell>
          <cell r="U126" t="str">
            <v>214/7 ต.บ้านต้าย อ.สว่างดินแดน จ.สกลนคร</v>
          </cell>
          <cell r="V126" t="str">
            <v>10/213 ม.4 ต.มาบยางพร อ.ปลวกแดง จ.ระยอง 21140</v>
          </cell>
          <cell r="W126" t="str">
            <v>รายเดือน</v>
          </cell>
        </row>
        <row r="127">
          <cell r="B127">
            <v>69051</v>
          </cell>
          <cell r="C127" t="str">
            <v>นางสาวนิตยา บงแก้ว</v>
          </cell>
          <cell r="D127" t="str">
            <v>MS.NIDTAYA BONGGAEW</v>
          </cell>
          <cell r="E127" t="str">
            <v>Female</v>
          </cell>
          <cell r="F127">
            <v>46113</v>
          </cell>
          <cell r="G127">
            <v>46173</v>
          </cell>
          <cell r="H127">
            <v>46203</v>
          </cell>
          <cell r="I127">
            <v>46232</v>
          </cell>
          <cell r="J127" t="str">
            <v>0 ปี 1 เดือน 24 วัน</v>
          </cell>
          <cell r="K127" t="str">
            <v>ตรวจสอบคุณภาพ</v>
          </cell>
          <cell r="L127" t="str">
            <v>质量检验专员เจ้าหน้าที่ QC</v>
          </cell>
          <cell r="M127" t="str">
            <v>Quality</v>
          </cell>
          <cell r="N127">
            <v>37984</v>
          </cell>
          <cell r="O127">
            <v>22</v>
          </cell>
          <cell r="P127" t="str">
            <v>095-818-3521</v>
          </cell>
          <cell r="Q127" t="str">
            <v>1-4209-01395-10-7</v>
          </cell>
          <cell r="R127" t="str">
            <v>ไทย</v>
          </cell>
          <cell r="S127" t="str">
            <v>泰国</v>
          </cell>
          <cell r="T127" t="str">
            <v>ปวส.</v>
          </cell>
          <cell r="U127" t="str">
            <v>53 ม.14 ต.โคกขมิ้น อ.วังสะพุง จ.เลย</v>
          </cell>
          <cell r="V127" t="str">
            <v>ห้างแก้ว ต.มาบยางพร อ.ปลวกแดง จ.ระยอง</v>
          </cell>
          <cell r="W127" t="str">
            <v>รายเดือน</v>
          </cell>
        </row>
        <row r="128">
          <cell r="B128">
            <v>69052</v>
          </cell>
          <cell r="C128" t="str">
            <v>นางสาวมลิดา สายที</v>
          </cell>
          <cell r="D128" t="str">
            <v>MS.MALIDA SAITEE</v>
          </cell>
          <cell r="E128" t="str">
            <v>Female</v>
          </cell>
          <cell r="F128">
            <v>46114</v>
          </cell>
          <cell r="G128">
            <v>46174</v>
          </cell>
          <cell r="H128">
            <v>46204</v>
          </cell>
          <cell r="I128">
            <v>46233</v>
          </cell>
          <cell r="J128" t="str">
            <v>0 ปี 1 เดือน 23 วัน</v>
          </cell>
          <cell r="K128" t="str">
            <v>ตรวจสอบคุณภาพ</v>
          </cell>
          <cell r="L128" t="str">
            <v>质量检验专员เจ้าหน้าที่ QC</v>
          </cell>
          <cell r="M128" t="str">
            <v>Quality</v>
          </cell>
          <cell r="N128">
            <v>37652</v>
          </cell>
          <cell r="O128">
            <v>23</v>
          </cell>
          <cell r="P128" t="str">
            <v>061-962-0825</v>
          </cell>
          <cell r="Q128" t="str">
            <v>1-3397-00013-60-5</v>
          </cell>
          <cell r="R128" t="str">
            <v>ไทย</v>
          </cell>
          <cell r="S128" t="str">
            <v>泰国</v>
          </cell>
          <cell r="T128" t="str">
            <v>ม.6</v>
          </cell>
          <cell r="U128" t="str">
            <v>9 ม.6 ต.เหล่ากวาง อ.โนนคูณ จ.ศรีสะเกษ</v>
          </cell>
          <cell r="V128" t="str">
            <v>160 ม.5 ต.มาบยางพร อ.ปลวกแดง จ.ระยอง</v>
          </cell>
          <cell r="W128" t="str">
            <v>รายเดือน</v>
          </cell>
        </row>
        <row r="129">
          <cell r="B129">
            <v>69055</v>
          </cell>
          <cell r="C129" t="str">
            <v>นางสาววิไลพร นามวงค์</v>
          </cell>
          <cell r="D129" t="str">
            <v>MS.WILAIPORN NAMWONG</v>
          </cell>
          <cell r="E129" t="str">
            <v>Female</v>
          </cell>
          <cell r="F129">
            <v>46118</v>
          </cell>
          <cell r="G129">
            <v>46178</v>
          </cell>
          <cell r="H129">
            <v>46208</v>
          </cell>
          <cell r="I129">
            <v>46237</v>
          </cell>
          <cell r="J129" t="str">
            <v>0 ปี 1 เดือน 19 วัน</v>
          </cell>
          <cell r="K129" t="str">
            <v>ตรวจสอบคุณภาพ</v>
          </cell>
          <cell r="L129" t="str">
            <v>质量检验专员เจ้าหน้าที่ QC</v>
          </cell>
          <cell r="M129" t="str">
            <v>Quality</v>
          </cell>
          <cell r="N129">
            <v>37199</v>
          </cell>
          <cell r="O129">
            <v>24</v>
          </cell>
          <cell r="P129" t="str">
            <v>080-176-1425</v>
          </cell>
          <cell r="Q129" t="str">
            <v>1-4807-01256-58-8</v>
          </cell>
          <cell r="R129" t="str">
            <v>ไทย</v>
          </cell>
          <cell r="S129" t="str">
            <v>泰国</v>
          </cell>
          <cell r="T129" t="str">
            <v>ปวส.</v>
          </cell>
          <cell r="U129" t="str">
            <v>61 ม.9 ต.พระซอง อ.นาแก จ.นครพนม</v>
          </cell>
          <cell r="V129" t="str">
            <v>312/111 ม.5 ต.เขาไม้แก้ว อ.บางละมุง</v>
          </cell>
          <cell r="W129" t="str">
            <v>รายเดือน</v>
          </cell>
        </row>
        <row r="130">
          <cell r="B130">
            <v>69056</v>
          </cell>
          <cell r="C130" t="str">
            <v>นางสาวรวิสรา นิรานนท์</v>
          </cell>
          <cell r="D130" t="str">
            <v>MS.RAWITSARA NIRANON</v>
          </cell>
          <cell r="E130" t="str">
            <v>Female</v>
          </cell>
          <cell r="F130">
            <v>46121</v>
          </cell>
          <cell r="G130">
            <v>46181</v>
          </cell>
          <cell r="H130">
            <v>46211</v>
          </cell>
          <cell r="I130">
            <v>46240</v>
          </cell>
          <cell r="J130" t="str">
            <v>0 ปี 1 เดือน 16 วัน</v>
          </cell>
          <cell r="K130" t="str">
            <v>ตรวจสอบคุณภาพ</v>
          </cell>
          <cell r="L130" t="str">
            <v>质量检验专员เจ้าหน้าที่ QC</v>
          </cell>
          <cell r="M130" t="str">
            <v>Quality</v>
          </cell>
          <cell r="N130">
            <v>37915</v>
          </cell>
          <cell r="O130">
            <v>22</v>
          </cell>
          <cell r="P130" t="str">
            <v>098-159-2015</v>
          </cell>
          <cell r="Q130" t="str">
            <v>1-3487-00024-92-4</v>
          </cell>
          <cell r="R130" t="str">
            <v>ไทย</v>
          </cell>
          <cell r="S130" t="str">
            <v>泰国</v>
          </cell>
          <cell r="T130" t="str">
            <v>ปวส.</v>
          </cell>
          <cell r="U130" t="str">
            <v>47 ม.6 ต.ขี้เหล็ก อ.น้ำขุ่น จ.อุบลราชธานี</v>
          </cell>
          <cell r="V130" t="str">
            <v>4/33 ม.3 ต.บ่อวิน อ.ศรีราชา จ.ชลบุรี</v>
          </cell>
          <cell r="W130" t="str">
            <v>รายเดือน</v>
          </cell>
        </row>
        <row r="131">
          <cell r="B131">
            <v>69057</v>
          </cell>
          <cell r="C131" t="str">
            <v>นาย ไกรศักดิ์ คำธิศรี</v>
          </cell>
          <cell r="D131" t="str">
            <v>MR.KAISAK KHAMTHISRI</v>
          </cell>
          <cell r="E131" t="str">
            <v>Male</v>
          </cell>
          <cell r="F131">
            <v>46128</v>
          </cell>
          <cell r="G131">
            <v>46188</v>
          </cell>
          <cell r="H131">
            <v>46218</v>
          </cell>
          <cell r="I131">
            <v>46247</v>
          </cell>
          <cell r="J131" t="str">
            <v>0 ปี 1 เดือน 9 วัน</v>
          </cell>
          <cell r="K131" t="str">
            <v>ตรวจสอบคุณภาพ</v>
          </cell>
          <cell r="L131" t="str">
            <v>质量检验专员เจ้าหน้าที่ QC</v>
          </cell>
          <cell r="M131" t="str">
            <v>Quality</v>
          </cell>
          <cell r="N131">
            <v>34320</v>
          </cell>
          <cell r="O131">
            <v>32</v>
          </cell>
          <cell r="P131" t="str">
            <v>094-053-0162</v>
          </cell>
          <cell r="Q131">
            <v>1470200091632</v>
          </cell>
          <cell r="R131" t="str">
            <v>ไทย</v>
          </cell>
          <cell r="S131" t="str">
            <v>泰国</v>
          </cell>
          <cell r="T131" t="str">
            <v>ม.6</v>
          </cell>
          <cell r="U131" t="str">
            <v>108/88 ม.4 ต.บึง อ.ศรีราชา จ.ชลบุรี</v>
          </cell>
          <cell r="V131" t="str">
            <v>108/88 ม.4 ต.บึง อ.ศรีราชา จ.ชลบุรี</v>
          </cell>
          <cell r="W131" t="str">
            <v>รายเดือน</v>
          </cell>
        </row>
        <row r="132">
          <cell r="B132">
            <v>69058</v>
          </cell>
          <cell r="C132" t="str">
            <v>นายณวัตน์ กองขัน</v>
          </cell>
          <cell r="D132" t="str">
            <v>MR.NAWAT KONGKHAN</v>
          </cell>
          <cell r="E132" t="str">
            <v>Male</v>
          </cell>
          <cell r="F132">
            <v>46132</v>
          </cell>
          <cell r="G132">
            <v>46192</v>
          </cell>
          <cell r="H132">
            <v>46222</v>
          </cell>
          <cell r="I132">
            <v>46251</v>
          </cell>
          <cell r="J132" t="str">
            <v>0 ปี 1 เดือน 5 วัน</v>
          </cell>
          <cell r="K132" t="str">
            <v>หลอมอลูมิเนียม</v>
          </cell>
          <cell r="L132" t="str">
            <v>压铸厂
ฝ่ายหลอมอลูมิเนียม</v>
          </cell>
          <cell r="M132" t="str">
            <v>Die Casting</v>
          </cell>
          <cell r="N132">
            <v>37942</v>
          </cell>
          <cell r="O132">
            <v>22</v>
          </cell>
          <cell r="P132" t="str">
            <v>093-081-9901</v>
          </cell>
          <cell r="Q132" t="str">
            <v>1-4399-00460-82-5</v>
          </cell>
          <cell r="R132" t="str">
            <v>ไทย</v>
          </cell>
          <cell r="S132" t="str">
            <v>泰国</v>
          </cell>
          <cell r="T132" t="str">
            <v>ปวส.</v>
          </cell>
          <cell r="U132" t="str">
            <v>193 ม.6 ต.คอกช้าง อ.สระใคร จ.หนองคาย</v>
          </cell>
          <cell r="V132" t="str">
            <v>432/17 ม.2 ต.มะขามคู่ อ.นิคมพัฒนา จ.ระยอง</v>
          </cell>
          <cell r="W132" t="str">
            <v>รายเดือน</v>
          </cell>
        </row>
        <row r="133">
          <cell r="B133">
            <v>69059</v>
          </cell>
          <cell r="C133" t="str">
            <v>นายณัฐพงษ์ บัวงาม</v>
          </cell>
          <cell r="D133" t="str">
            <v>MR.NUTTHAPHONG BUA-NGAM</v>
          </cell>
          <cell r="E133" t="str">
            <v>Male</v>
          </cell>
          <cell r="F133">
            <v>46132</v>
          </cell>
          <cell r="G133">
            <v>46192</v>
          </cell>
          <cell r="H133">
            <v>46222</v>
          </cell>
          <cell r="I133">
            <v>46251</v>
          </cell>
          <cell r="J133" t="str">
            <v>0 ปี 1 เดือน 5 วัน</v>
          </cell>
          <cell r="K133" t="str">
            <v>ซ่อมบำรุง</v>
          </cell>
          <cell r="L133" t="str">
            <v>维修摸具
ช่างซ่อมแม่พิมพ์ (Die Casting)</v>
          </cell>
          <cell r="M133" t="str">
            <v>Equipment</v>
          </cell>
          <cell r="N133">
            <v>35215</v>
          </cell>
          <cell r="O133">
            <v>29</v>
          </cell>
          <cell r="P133" t="str">
            <v>093-328-1352</v>
          </cell>
          <cell r="Q133" t="str">
            <v>1-4111-00296-13-6</v>
          </cell>
          <cell r="R133" t="str">
            <v>ไทย</v>
          </cell>
          <cell r="S133" t="str">
            <v>泰国</v>
          </cell>
          <cell r="T133" t="str">
            <v>ปวส.</v>
          </cell>
          <cell r="U133" t="str">
            <v>97 ม.12 ต.นาไหม อ.บ้านดุง จ.อุดรธานี</v>
          </cell>
          <cell r="V133" t="str">
            <v>112/ ม.5 ต.เขาคันทรง อ.ศรีราชา จ.ชลบุรี</v>
          </cell>
          <cell r="W133" t="str">
            <v>รายเดือน</v>
          </cell>
        </row>
        <row r="134">
          <cell r="B134">
            <v>69060</v>
          </cell>
          <cell r="C134" t="str">
            <v>นางสาวรมิตาสิริ ท่วมประจักษ์</v>
          </cell>
          <cell r="D134" t="str">
            <v>MS.RAMITASIRI THOAMPRAJAK</v>
          </cell>
          <cell r="E134" t="str">
            <v>Female</v>
          </cell>
          <cell r="F134">
            <v>46132</v>
          </cell>
          <cell r="G134">
            <v>46192</v>
          </cell>
          <cell r="H134">
            <v>46222</v>
          </cell>
          <cell r="I134">
            <v>46251</v>
          </cell>
          <cell r="J134" t="str">
            <v>0 ปี 1 เดือน 5 วัน</v>
          </cell>
          <cell r="K134" t="str">
            <v>บัญชี</v>
          </cell>
          <cell r="L134" t="str">
            <v>财务
เจ้าหน้าที่บัญชี</v>
          </cell>
          <cell r="M134" t="str">
            <v>Finance</v>
          </cell>
          <cell r="N134">
            <v>33348</v>
          </cell>
          <cell r="O134">
            <v>35</v>
          </cell>
          <cell r="P134" t="str">
            <v>063-021-9936</v>
          </cell>
          <cell r="Q134" t="str">
            <v>1-3607-00071-07-1</v>
          </cell>
          <cell r="R134" t="str">
            <v>ไทย</v>
          </cell>
          <cell r="S134" t="str">
            <v>泰国</v>
          </cell>
          <cell r="T134" t="str">
            <v>ป.ตรี</v>
          </cell>
          <cell r="U134" t="str">
            <v>29 ม.14 ต.บ้านเพชร อ.บำเหน็จณรงค์ จ.ชัยภูมิ</v>
          </cell>
          <cell r="V134" t="str">
            <v>192/29 ม.11 ต.ทุ่งสุขลา อ.สรีราชา จ.ชลบุรี</v>
          </cell>
          <cell r="W134" t="str">
            <v>รายเดือน</v>
          </cell>
        </row>
        <row r="135">
          <cell r="B135">
            <v>69061</v>
          </cell>
          <cell r="C135" t="str">
            <v>MS.YANG,QIONGXIU</v>
          </cell>
          <cell r="D135" t="str">
            <v>MS.YANG,QIONGXIU</v>
          </cell>
          <cell r="E135" t="str">
            <v>Female</v>
          </cell>
          <cell r="F135">
            <v>46120</v>
          </cell>
          <cell r="G135">
            <v>46180</v>
          </cell>
          <cell r="H135">
            <v>46210</v>
          </cell>
          <cell r="I135">
            <v>46239</v>
          </cell>
          <cell r="J135" t="str">
            <v>0 ปี 1 เดือน 17 วัน</v>
          </cell>
          <cell r="K135" t="str">
            <v>บริหารและวางแผนการผลิต</v>
          </cell>
          <cell r="L135" t="str">
            <v>生产计划员中文 เจ้าหน้าที่วางแผนการผลิต(ภาษาจีน)</v>
          </cell>
          <cell r="M135" t="str">
            <v>Planning</v>
          </cell>
          <cell r="N135">
            <v>37318</v>
          </cell>
          <cell r="O135">
            <v>24</v>
          </cell>
          <cell r="Q135" t="str">
            <v>EJ9137027</v>
          </cell>
          <cell r="R135" t="str">
            <v>CHINESE</v>
          </cell>
          <cell r="S135" t="str">
            <v>中国籍</v>
          </cell>
          <cell r="W135" t="str">
            <v>รายเดือน</v>
          </cell>
        </row>
        <row r="136">
          <cell r="B136">
            <v>69062</v>
          </cell>
          <cell r="C136" t="str">
            <v>นายณัฐภูมิ ดีกาว</v>
          </cell>
          <cell r="D136" t="str">
            <v>MR.NATTAPOOM DEEKAO</v>
          </cell>
          <cell r="E136" t="str">
            <v>Male</v>
          </cell>
          <cell r="F136">
            <v>46133</v>
          </cell>
          <cell r="G136">
            <v>46193</v>
          </cell>
          <cell r="H136">
            <v>46223</v>
          </cell>
          <cell r="I136">
            <v>46252</v>
          </cell>
          <cell r="J136" t="str">
            <v>0 ปี 1 เดือน 4 วัน</v>
          </cell>
          <cell r="K136" t="str">
            <v>ตรวจสอบคุณภาพ</v>
          </cell>
          <cell r="L136" t="str">
            <v>质量检验专员เจ้าหน้าที่ QC</v>
          </cell>
          <cell r="M136" t="str">
            <v>Quality</v>
          </cell>
          <cell r="N136">
            <v>35662</v>
          </cell>
          <cell r="O136">
            <v>28</v>
          </cell>
          <cell r="P136" t="str">
            <v>097-223-6578</v>
          </cell>
          <cell r="Q136" t="str">
            <v>1-4599-00637-82-2</v>
          </cell>
          <cell r="R136" t="str">
            <v>ไทย</v>
          </cell>
          <cell r="S136" t="str">
            <v>泰国</v>
          </cell>
          <cell r="T136" t="str">
            <v>ปวส.</v>
          </cell>
          <cell r="U136" t="str">
            <v>25 ม.5 ต.ขี้เหล็ก อ.อาจสามารถ จ.ร้อยเอ็ด</v>
          </cell>
          <cell r="V136" t="str">
            <v>22/23 ม.2 ต.มะขาวคู่ อ.นิคมพัฒนา จ.ระยอง</v>
          </cell>
          <cell r="W136" t="str">
            <v>รายเดือน</v>
          </cell>
        </row>
        <row r="137">
          <cell r="B137">
            <v>69063</v>
          </cell>
          <cell r="C137" t="str">
            <v>นายทนาวุฒิ พิเศษฤทธิ์</v>
          </cell>
          <cell r="D137" t="str">
            <v>MR.THANAWUT PHISETRIT</v>
          </cell>
          <cell r="E137" t="str">
            <v>Male</v>
          </cell>
          <cell r="F137">
            <v>46133</v>
          </cell>
          <cell r="G137">
            <v>46193</v>
          </cell>
          <cell r="H137">
            <v>46223</v>
          </cell>
          <cell r="I137">
            <v>46252</v>
          </cell>
          <cell r="J137" t="str">
            <v>0 ปี 1 เดือน 4 วัน</v>
          </cell>
          <cell r="K137" t="str">
            <v>Bending</v>
          </cell>
          <cell r="L137" t="str">
            <v>折弯机操作员
เจ้าหน้าที่ควบคุมเครื่องBending</v>
          </cell>
          <cell r="M137" t="str">
            <v>Bending</v>
          </cell>
          <cell r="N137">
            <v>36961</v>
          </cell>
          <cell r="O137">
            <v>25</v>
          </cell>
          <cell r="P137" t="str">
            <v>064-339-2904</v>
          </cell>
          <cell r="Q137" t="str">
            <v>1-3699-00550-40-0</v>
          </cell>
          <cell r="R137" t="str">
            <v>ไทย</v>
          </cell>
          <cell r="S137" t="str">
            <v>泰国</v>
          </cell>
          <cell r="T137" t="str">
            <v>ม.3</v>
          </cell>
          <cell r="U137" t="str">
            <v>65 ม.1 ต.ห้วยต้อน อ.เมืองชัยภูมิ จ.ชัยภูมิ</v>
          </cell>
          <cell r="V137" t="str">
            <v>27/3 ม.4 ต.มาบยางพร อ.ปลวกแดง จ.ระยอง</v>
          </cell>
          <cell r="W137" t="str">
            <v>รายเดือน</v>
          </cell>
        </row>
        <row r="138">
          <cell r="B138">
            <v>69064</v>
          </cell>
          <cell r="C138" t="str">
            <v>นางสาวอันน์-คัทรีน-คัวร์ซีเฟน</v>
          </cell>
          <cell r="D138" t="str">
            <v>MS.ANN-KATRIN CURSIEFEN</v>
          </cell>
          <cell r="E138" t="str">
            <v>Female</v>
          </cell>
          <cell r="F138">
            <v>46133</v>
          </cell>
          <cell r="G138">
            <v>46193</v>
          </cell>
          <cell r="H138">
            <v>46223</v>
          </cell>
          <cell r="I138">
            <v>46252</v>
          </cell>
          <cell r="J138" t="str">
            <v>0 ปี 1 เดือน 4 วัน</v>
          </cell>
          <cell r="K138" t="str">
            <v>หลอมอลูมิเนียม</v>
          </cell>
          <cell r="L138" t="str">
            <v>Shot Blasting</v>
          </cell>
          <cell r="M138" t="str">
            <v>Die Casting</v>
          </cell>
          <cell r="N138">
            <v>38054</v>
          </cell>
          <cell r="O138">
            <v>22</v>
          </cell>
          <cell r="P138" t="str">
            <v>091-750-1618</v>
          </cell>
          <cell r="Q138" t="str">
            <v>5-3103-00111-92-2</v>
          </cell>
          <cell r="R138" t="str">
            <v>ไทย</v>
          </cell>
          <cell r="S138" t="str">
            <v>泰国</v>
          </cell>
          <cell r="T138" t="str">
            <v>ปวช.</v>
          </cell>
          <cell r="U138" t="str">
            <v>17 ม.17 ต.หนองเต็ง อ.กระสัง จ.บุรีรัมย์</v>
          </cell>
          <cell r="V138" t="str">
            <v>344/5 ม.2 ต.มะขามคู่ อ.นิคมพัฒนา จ.ระยอง</v>
          </cell>
          <cell r="W138" t="str">
            <v>รายเดือน</v>
          </cell>
        </row>
        <row r="139">
          <cell r="B139">
            <v>69065</v>
          </cell>
          <cell r="C139" t="str">
            <v>นายอิสระ ผิวเงิน</v>
          </cell>
          <cell r="D139" t="str">
            <v>MR.ITSARA PIWNGOEN</v>
          </cell>
          <cell r="E139" t="str">
            <v>Male</v>
          </cell>
          <cell r="F139">
            <v>46133</v>
          </cell>
          <cell r="G139">
            <v>46193</v>
          </cell>
          <cell r="H139">
            <v>46223</v>
          </cell>
          <cell r="I139">
            <v>46252</v>
          </cell>
          <cell r="J139" t="str">
            <v>0 ปี 1 เดือน 4 วัน</v>
          </cell>
          <cell r="K139" t="str">
            <v>หลอมอลูมิเนียม</v>
          </cell>
          <cell r="L139" t="str">
            <v>เจ้าหน้าที่หลอมอลูมิเนียม</v>
          </cell>
          <cell r="M139" t="str">
            <v>Die Casting</v>
          </cell>
          <cell r="N139">
            <v>38744</v>
          </cell>
          <cell r="O139">
            <v>20</v>
          </cell>
          <cell r="P139" t="str">
            <v>062-175-1647</v>
          </cell>
          <cell r="Q139" t="str">
            <v>1-3414-01268-22-1</v>
          </cell>
          <cell r="R139" t="str">
            <v>ไทย</v>
          </cell>
          <cell r="S139" t="str">
            <v>泰国</v>
          </cell>
          <cell r="T139" t="str">
            <v>ม.6</v>
          </cell>
          <cell r="U139" t="str">
            <v>33/4 ม.4 ต.ไผ่ใหญ่ อ.ม่วงสามสิบ จ.อุบลราชธานี</v>
          </cell>
          <cell r="V139" t="str">
            <v>2/67 ม.2 ต.มะขามคู่ อ.นิคมพัฒนา จ.ระยอง</v>
          </cell>
          <cell r="W139" t="str">
            <v>รายเดือน</v>
          </cell>
        </row>
        <row r="140">
          <cell r="B140">
            <v>69066</v>
          </cell>
          <cell r="C140" t="str">
            <v>นายเกียรติศักดิ์ แล่เพ็ชร</v>
          </cell>
          <cell r="D140" t="str">
            <v>MR.KIATTISAK LAPHET</v>
          </cell>
          <cell r="E140" t="str">
            <v>Male</v>
          </cell>
          <cell r="F140">
            <v>46133</v>
          </cell>
          <cell r="G140">
            <v>46193</v>
          </cell>
          <cell r="H140">
            <v>46223</v>
          </cell>
          <cell r="I140">
            <v>46252</v>
          </cell>
          <cell r="J140" t="str">
            <v>0 ปี 1 เดือน 4 วัน</v>
          </cell>
          <cell r="K140" t="str">
            <v>Stamping</v>
          </cell>
          <cell r="L140" t="str">
            <v>冲压操作工150T
เจ้าหน้าที่ปั๊มงาน150ตัน</v>
          </cell>
          <cell r="M140" t="str">
            <v>Stamping</v>
          </cell>
          <cell r="N140">
            <v>37454</v>
          </cell>
          <cell r="O140">
            <v>23</v>
          </cell>
          <cell r="P140" t="str">
            <v>095-440-7563</v>
          </cell>
          <cell r="Q140" t="str">
            <v>1-4494-00009-67-9</v>
          </cell>
          <cell r="R140" t="str">
            <v>ไทย</v>
          </cell>
          <cell r="S140" t="str">
            <v>泰国</v>
          </cell>
          <cell r="T140" t="str">
            <v>ม.3</v>
          </cell>
          <cell r="U140" t="str">
            <v>122 ม.7 ต.นาทอง อ.เชียงยืน จ.มหาสารคาม</v>
          </cell>
          <cell r="V140" t="str">
            <v>285 ม.4 ต.ปลวกแดง อ.ปลวกแดง จ.ระยอง</v>
          </cell>
          <cell r="W140" t="str">
            <v>รายเดือน</v>
          </cell>
        </row>
        <row r="141">
          <cell r="B141">
            <v>69067</v>
          </cell>
          <cell r="C141" t="str">
            <v>นายสิทธิมงคล พลเรือง</v>
          </cell>
          <cell r="D141" t="str">
            <v>MR.SITTHIMONGKHON PHOLRAUNG</v>
          </cell>
          <cell r="E141" t="str">
            <v>Male</v>
          </cell>
          <cell r="F141">
            <v>46133</v>
          </cell>
          <cell r="G141">
            <v>46193</v>
          </cell>
          <cell r="H141">
            <v>46223</v>
          </cell>
          <cell r="I141">
            <v>46252</v>
          </cell>
          <cell r="J141" t="str">
            <v>0 ปี 1 เดือน 4 วัน</v>
          </cell>
          <cell r="K141" t="str">
            <v>ซ่อมบำรุง</v>
          </cell>
          <cell r="L141" t="str">
            <v>ซ่อมบำรุงเครื่องจักร
机械维修部</v>
          </cell>
          <cell r="M141" t="str">
            <v>Equipment</v>
          </cell>
          <cell r="N141">
            <v>38330</v>
          </cell>
          <cell r="O141">
            <v>21</v>
          </cell>
          <cell r="P141" t="str">
            <v>061-264-8180</v>
          </cell>
          <cell r="Q141" t="str">
            <v>1-3097-01286-77-0</v>
          </cell>
          <cell r="R141" t="str">
            <v>ไทย</v>
          </cell>
          <cell r="S141" t="str">
            <v>泰国</v>
          </cell>
          <cell r="T141" t="str">
            <v>ปวช.</v>
          </cell>
          <cell r="U141" t="str">
            <v>127 ม.3 ต.สารภี อ.โพธิ์ไทร จ.อุบลราชธานี</v>
          </cell>
          <cell r="V141" t="str">
            <v>13/130 ม.3 ต.มาบยางพร อ.ปลวกแดง จ.ระยอง</v>
          </cell>
          <cell r="W141" t="str">
            <v>รายเดือน</v>
          </cell>
        </row>
        <row r="142">
          <cell r="B142">
            <v>69068</v>
          </cell>
          <cell r="C142" t="str">
            <v>นายอภิชาติ นามกิง</v>
          </cell>
          <cell r="D142" t="str">
            <v>MR.APHICHAT NAMKING</v>
          </cell>
          <cell r="E142" t="str">
            <v>Male</v>
          </cell>
          <cell r="F142">
            <v>46135</v>
          </cell>
          <cell r="G142">
            <v>46195</v>
          </cell>
          <cell r="H142">
            <v>46225</v>
          </cell>
          <cell r="I142">
            <v>46254</v>
          </cell>
          <cell r="J142" t="str">
            <v>0 ปี 1 เดือน 2 วัน</v>
          </cell>
          <cell r="K142" t="str">
            <v>ตรวจสอบคุณภาพ</v>
          </cell>
          <cell r="L142" t="str">
            <v>质量检验专员เจ้าหน้าที่ QC</v>
          </cell>
          <cell r="M142" t="str">
            <v>Quality</v>
          </cell>
          <cell r="N142">
            <v>37983</v>
          </cell>
          <cell r="O142">
            <v>22</v>
          </cell>
          <cell r="P142" t="str">
            <v>090-411-7821</v>
          </cell>
          <cell r="Q142" t="str">
            <v>1-3009-01229-19-4</v>
          </cell>
          <cell r="R142" t="str">
            <v>ไทย</v>
          </cell>
          <cell r="S142" t="str">
            <v>泰国</v>
          </cell>
          <cell r="T142" t="str">
            <v>ม.3</v>
          </cell>
          <cell r="U142" t="str">
            <v>44 ม.19 ต.ทัพรั้ง อ.พระทองคำ จ.นครราชสีมา</v>
          </cell>
          <cell r="V142" t="str">
            <v>73/1 ม.6 ต.มาบยางพร อ.ปลวกแดง จ.ระยอง</v>
          </cell>
          <cell r="W142" t="str">
            <v>รายเดือน</v>
          </cell>
        </row>
        <row r="143">
          <cell r="B143">
            <v>69069</v>
          </cell>
          <cell r="C143" t="str">
            <v>นางสาวสุนทรีย์ ฤทธิ์ชัยเดช</v>
          </cell>
          <cell r="D143" t="str">
            <v>MS.SUNTHAREE RITCHAIDET</v>
          </cell>
          <cell r="E143" t="str">
            <v>Female</v>
          </cell>
          <cell r="F143">
            <v>46137</v>
          </cell>
          <cell r="G143">
            <v>46197</v>
          </cell>
          <cell r="H143">
            <v>46227</v>
          </cell>
          <cell r="I143">
            <v>46256</v>
          </cell>
          <cell r="J143" t="str">
            <v>0 ปี 1 เดือน 0 วัน</v>
          </cell>
          <cell r="K143" t="str">
            <v>ตรวจสอบคุณภาพ</v>
          </cell>
          <cell r="L143" t="str">
            <v>质量检验专员เจ้าหน้าที่ QC</v>
          </cell>
          <cell r="M143" t="str">
            <v>Quality</v>
          </cell>
          <cell r="N143">
            <v>36477</v>
          </cell>
          <cell r="O143">
            <v>26</v>
          </cell>
          <cell r="P143" t="str">
            <v>061-686-7599</v>
          </cell>
          <cell r="Q143" t="str">
            <v>1-5399-00700-69-8</v>
          </cell>
          <cell r="R143" t="str">
            <v>ไทย</v>
          </cell>
          <cell r="S143" t="str">
            <v>泰国</v>
          </cell>
          <cell r="T143" t="str">
            <v>ปวส.</v>
          </cell>
          <cell r="U143" t="str">
            <v>99/1 ม.4 ต.ผาจุก อ.เมือง จ.อุตรดิตถ์</v>
          </cell>
          <cell r="V143" t="str">
            <v>32/78 ม.2 ต.มะขามคู่ อ.นิคมพัฒนา จ.ระยอง</v>
          </cell>
          <cell r="W143" t="str">
            <v>รายเดือน</v>
          </cell>
        </row>
        <row r="144">
          <cell r="B144">
            <v>69070</v>
          </cell>
          <cell r="C144" t="str">
            <v>นายเชาวลิต มูลปัง</v>
          </cell>
          <cell r="D144" t="str">
            <v>MR.CHAOWALIT MOONPANG</v>
          </cell>
          <cell r="E144" t="str">
            <v>Male</v>
          </cell>
          <cell r="F144">
            <v>46146</v>
          </cell>
          <cell r="G144">
            <v>46206</v>
          </cell>
          <cell r="H144">
            <v>46236</v>
          </cell>
          <cell r="I144">
            <v>46265</v>
          </cell>
          <cell r="J144" t="str">
            <v>0 ปี 0 เดือน 21 วัน</v>
          </cell>
          <cell r="K144" t="str">
            <v>ตรวจสอบคุณภาพ</v>
          </cell>
          <cell r="L144" t="str">
            <v>质量检验专员เจ้าหน้าที่ QC</v>
          </cell>
          <cell r="M144" t="str">
            <v>Quality</v>
          </cell>
          <cell r="N144">
            <v>35456</v>
          </cell>
          <cell r="O144">
            <v>29</v>
          </cell>
          <cell r="P144" t="str">
            <v>098-145-2710</v>
          </cell>
          <cell r="Q144" t="str">
            <v>1-2404-00089-72-2</v>
          </cell>
          <cell r="R144" t="str">
            <v>ไทย</v>
          </cell>
          <cell r="S144" t="str">
            <v>泰国</v>
          </cell>
          <cell r="T144" t="str">
            <v>ม.6</v>
          </cell>
          <cell r="U144" t="str">
            <v>588/7 ม.3 ต.มาบยางพร อ.ปลวกแดง จ.ระยอง</v>
          </cell>
          <cell r="V144" t="str">
            <v>588/7 ม.3 ต.มาบยางพร อ.ปลวกแดง จ.ระยอง</v>
          </cell>
          <cell r="W144" t="str">
            <v>รายเดือน</v>
          </cell>
        </row>
        <row r="145">
          <cell r="B145">
            <v>69071</v>
          </cell>
          <cell r="C145" t="str">
            <v>นางสาววาสิตา คุณวงค์</v>
          </cell>
          <cell r="D145" t="str">
            <v>MS.WASITA KHUNWONG</v>
          </cell>
          <cell r="E145" t="str">
            <v>Female</v>
          </cell>
          <cell r="F145">
            <v>46146</v>
          </cell>
          <cell r="G145">
            <v>46206</v>
          </cell>
          <cell r="H145">
            <v>46236</v>
          </cell>
          <cell r="I145">
            <v>46265</v>
          </cell>
          <cell r="J145" t="str">
            <v>0 ปี 0 เดือน 21 วัน</v>
          </cell>
          <cell r="K145" t="str">
            <v>ตรวจสอบคุณภาพ</v>
          </cell>
          <cell r="L145" t="str">
            <v>质量检验专员เจ้าหน้าที่ QC</v>
          </cell>
          <cell r="M145" t="str">
            <v>Quality</v>
          </cell>
          <cell r="N145">
            <v>36275</v>
          </cell>
          <cell r="O145">
            <v>27</v>
          </cell>
          <cell r="P145" t="str">
            <v>084-293-8896</v>
          </cell>
          <cell r="Q145" t="str">
            <v>1-3198-00256-74-7</v>
          </cell>
          <cell r="R145" t="str">
            <v>ไทย</v>
          </cell>
          <cell r="S145" t="str">
            <v>泰国</v>
          </cell>
          <cell r="T145" t="str">
            <v>ม.6</v>
          </cell>
          <cell r="U145" t="str">
            <v>45 ม.7 ต.โคกตูม อ.ประโคนชัย จ.บุรีรัมย์</v>
          </cell>
          <cell r="V145" t="str">
            <v>310/18 ม.5 ต.เขาไม้แก้ว อ.บางละมุง จ.ชลบุรี</v>
          </cell>
          <cell r="W145" t="str">
            <v>รายเดือน</v>
          </cell>
        </row>
        <row r="146">
          <cell r="B146">
            <v>69073</v>
          </cell>
          <cell r="C146" t="str">
            <v>นางสาวนรินทรา  บุญศิริ</v>
          </cell>
          <cell r="D146" t="str">
            <v>MS.NARINTRA BOONSIRI</v>
          </cell>
          <cell r="E146" t="str">
            <v>Female</v>
          </cell>
          <cell r="F146">
            <v>46163</v>
          </cell>
          <cell r="G146">
            <v>46223</v>
          </cell>
          <cell r="H146">
            <v>46253</v>
          </cell>
          <cell r="I146">
            <v>46282</v>
          </cell>
          <cell r="J146" t="str">
            <v>0 ปี 0 เดือน 4 วัน</v>
          </cell>
          <cell r="K146" t="str">
            <v>คลังสินค้า</v>
          </cell>
          <cell r="L146" t="str">
            <v>挑选เจ้าหน้าที่คัดงาน</v>
          </cell>
          <cell r="M146" t="str">
            <v>Warehouse</v>
          </cell>
          <cell r="N146">
            <v>37395</v>
          </cell>
          <cell r="O146">
            <v>24</v>
          </cell>
          <cell r="P146" t="str">
            <v>098-309-5523</v>
          </cell>
          <cell r="Q146" t="str">
            <v>1-3299-01124-96-0</v>
          </cell>
          <cell r="R146" t="str">
            <v>ไทย</v>
          </cell>
          <cell r="S146" t="str">
            <v>泰国</v>
          </cell>
          <cell r="T146" t="str">
            <v>ม.3</v>
          </cell>
          <cell r="U146" t="str">
            <v>12 ม.11 ต.ลำดวน อ.ลำดวน จ.สุรินทร์</v>
          </cell>
          <cell r="V146" t="str">
            <v>230 ม.2 ต.มาบยางพร อ.ปลวกแดง จ.ระยอง</v>
          </cell>
          <cell r="W146" t="str">
            <v>รายเดือน</v>
          </cell>
        </row>
        <row r="147">
          <cell r="B147">
            <v>69074</v>
          </cell>
          <cell r="C147" t="str">
            <v>นางสาวสุกันยา  ผาทา</v>
          </cell>
          <cell r="D147" t="str">
            <v>MS.SUKANYA PHATHA</v>
          </cell>
          <cell r="E147" t="str">
            <v>Female</v>
          </cell>
          <cell r="F147">
            <v>46163</v>
          </cell>
          <cell r="G147">
            <v>46223</v>
          </cell>
          <cell r="H147">
            <v>46253</v>
          </cell>
          <cell r="I147">
            <v>46282</v>
          </cell>
          <cell r="J147" t="str">
            <v>0 ปี 0 เดือน 4 วัน</v>
          </cell>
          <cell r="K147" t="str">
            <v>คลังสินค้า</v>
          </cell>
          <cell r="L147" t="str">
            <v>仓库管理员
เจ้าหน้าที่คลังสินค้า</v>
          </cell>
          <cell r="M147" t="str">
            <v>Warehouse</v>
          </cell>
          <cell r="N147">
            <v>38905</v>
          </cell>
          <cell r="O147">
            <v>19</v>
          </cell>
          <cell r="P147" t="str">
            <v>098-548-6623</v>
          </cell>
          <cell r="Q147" t="str">
            <v>1-4899-00563-32-2</v>
          </cell>
          <cell r="R147" t="str">
            <v>ไทย</v>
          </cell>
          <cell r="S147" t="str">
            <v>泰国</v>
          </cell>
          <cell r="T147" t="str">
            <v>ม.6</v>
          </cell>
          <cell r="U147" t="str">
            <v>22/1 ม.8 ต.คำเตย อ.เมืองนครพนม จ.นครพนม</v>
          </cell>
          <cell r="V147" t="str">
            <v>127/62 ม.6 ต.มาบยางพร อ.ปลวกแดง จ.ระยอง</v>
          </cell>
          <cell r="W147" t="str">
            <v>รายเดือน</v>
          </cell>
        </row>
        <row r="148">
          <cell r="B148">
            <v>69075</v>
          </cell>
          <cell r="C148" t="str">
            <v>นายสุวิจักขณ์  ศรีโพธิ์</v>
          </cell>
          <cell r="D148" t="str">
            <v>MR.SUWIJAK SRIPHO</v>
          </cell>
          <cell r="E148" t="str">
            <v>Male</v>
          </cell>
          <cell r="F148">
            <v>46163</v>
          </cell>
          <cell r="G148">
            <v>46223</v>
          </cell>
          <cell r="H148">
            <v>46253</v>
          </cell>
          <cell r="I148">
            <v>46282</v>
          </cell>
          <cell r="J148" t="str">
            <v>0 ปี 0 เดือน 4 วัน</v>
          </cell>
          <cell r="K148" t="str">
            <v>คลังสินค้า</v>
          </cell>
          <cell r="L148" t="str">
            <v>挑选เจ้าหน้าที่คัดงาน</v>
          </cell>
          <cell r="M148" t="str">
            <v>Warehouse</v>
          </cell>
          <cell r="N148">
            <v>37672</v>
          </cell>
          <cell r="O148">
            <v>23</v>
          </cell>
          <cell r="P148" t="str">
            <v>083-141-3103</v>
          </cell>
          <cell r="Q148" t="str">
            <v>1-3004-01206-27-6</v>
          </cell>
          <cell r="R148" t="str">
            <v>ไทย</v>
          </cell>
          <cell r="S148" t="str">
            <v>泰国</v>
          </cell>
          <cell r="T148" t="str">
            <v>ม.3</v>
          </cell>
          <cell r="U148" t="str">
            <v>125 ม.11 ต.โนนเต็ง อ.คง จ.นครราชสีมา</v>
          </cell>
          <cell r="V148" t="str">
            <v>80 ม.3 ต.มาบยางพร อ.ปลวกแดง จ.ระยอง</v>
          </cell>
          <cell r="W148" t="str">
            <v>รายเดือน</v>
          </cell>
        </row>
        <row r="149">
          <cell r="B149">
            <v>69076</v>
          </cell>
          <cell r="C149" t="str">
            <v>นายวัชระ  ศรีอินทร์</v>
          </cell>
          <cell r="D149" t="str">
            <v>MR.WATCHARA  SRIIN</v>
          </cell>
          <cell r="E149" t="str">
            <v>Male</v>
          </cell>
          <cell r="F149">
            <v>46163</v>
          </cell>
          <cell r="G149">
            <v>46223</v>
          </cell>
          <cell r="H149">
            <v>46253</v>
          </cell>
          <cell r="I149">
            <v>46282</v>
          </cell>
          <cell r="J149" t="str">
            <v>0 ปี 0 เดือน 4 วัน</v>
          </cell>
          <cell r="K149" t="str">
            <v>ประกอบ</v>
          </cell>
          <cell r="L149" t="str">
            <v>组装H1
เจ้าหน้าที่ประกอบH1</v>
          </cell>
          <cell r="M149" t="str">
            <v>Assembly</v>
          </cell>
          <cell r="N149">
            <v>34875</v>
          </cell>
          <cell r="O149">
            <v>30</v>
          </cell>
          <cell r="P149" t="str">
            <v>063-618-0891</v>
          </cell>
          <cell r="Q149" t="str">
            <v>1-3205-00241-47-9</v>
          </cell>
          <cell r="R149" t="str">
            <v>ไทย</v>
          </cell>
          <cell r="S149" t="str">
            <v>泰国</v>
          </cell>
          <cell r="T149" t="str">
            <v>ม.3</v>
          </cell>
          <cell r="U149" t="str">
            <v>29 ม.8 ต.หนองใหญ่ อ.ปราสาท จ.สุรินทร์</v>
          </cell>
          <cell r="V149" t="str">
            <v>999/329 ม.2 ต.มาบยางพร อ.ปลวกแดง จ.ระยอง</v>
          </cell>
          <cell r="W149" t="str">
            <v>รายเดือน</v>
          </cell>
        </row>
        <row r="150">
          <cell r="B150">
            <v>69077</v>
          </cell>
          <cell r="C150" t="str">
            <v>นางสาวมัชฌิมา  รุ่งระวี</v>
          </cell>
          <cell r="D150" t="str">
            <v>MS.MATCHIMA RUNGRAWEE</v>
          </cell>
          <cell r="E150" t="str">
            <v>Female</v>
          </cell>
          <cell r="F150">
            <v>46163</v>
          </cell>
          <cell r="G150">
            <v>46223</v>
          </cell>
          <cell r="H150">
            <v>46253</v>
          </cell>
          <cell r="I150">
            <v>46282</v>
          </cell>
          <cell r="J150" t="str">
            <v>0 ปี 0 เดือน 4 วัน</v>
          </cell>
          <cell r="K150" t="str">
            <v>คลังสินค้า</v>
          </cell>
          <cell r="L150" t="str">
            <v>挑选เจ้าหน้าที่คัดงาน</v>
          </cell>
          <cell r="M150" t="str">
            <v>Warehouse</v>
          </cell>
          <cell r="N150">
            <v>36403</v>
          </cell>
          <cell r="O150">
            <v>26</v>
          </cell>
          <cell r="P150" t="str">
            <v>093-396-4507</v>
          </cell>
          <cell r="Q150" t="str">
            <v>1-1015-01026-09-4</v>
          </cell>
          <cell r="R150" t="str">
            <v>ไทย</v>
          </cell>
          <cell r="S150" t="str">
            <v>泰国</v>
          </cell>
          <cell r="T150" t="str">
            <v>ปวส.</v>
          </cell>
          <cell r="U150" t="str">
            <v>42 ม.3 ต.ดู่ อ.ราษีไศล จ.ศรีสะเกษ</v>
          </cell>
          <cell r="V150" t="str">
            <v>96 ม.4 ต.มาบยางพร อ.ปลวกแดง จ.ระยอง</v>
          </cell>
          <cell r="W150" t="str">
            <v>รายเดือน</v>
          </cell>
        </row>
        <row r="151">
          <cell r="B151">
            <v>69078</v>
          </cell>
          <cell r="C151" t="str">
            <v>นายจิรายุส  จำปาทิพย์</v>
          </cell>
          <cell r="D151" t="str">
            <v>MR.JIRAYUT JAMPATIP</v>
          </cell>
          <cell r="E151" t="str">
            <v>Male</v>
          </cell>
          <cell r="F151">
            <v>46163</v>
          </cell>
          <cell r="G151">
            <v>46223</v>
          </cell>
          <cell r="H151">
            <v>46253</v>
          </cell>
          <cell r="I151">
            <v>46282</v>
          </cell>
          <cell r="J151" t="str">
            <v>0 ปี 0 เดือน 4 วัน</v>
          </cell>
          <cell r="K151" t="str">
            <v>คลังสินค้า</v>
          </cell>
          <cell r="L151" t="str">
            <v>仓库管理员
เจ้าหน้าที่คลังสินค้า</v>
          </cell>
          <cell r="M151" t="str">
            <v>Warehouse</v>
          </cell>
          <cell r="N151">
            <v>38261</v>
          </cell>
          <cell r="O151">
            <v>21</v>
          </cell>
          <cell r="P151" t="str">
            <v>085-886-6909</v>
          </cell>
          <cell r="Q151" t="str">
            <v>1-4085-00028-79-8</v>
          </cell>
          <cell r="R151" t="str">
            <v>ไทย</v>
          </cell>
          <cell r="S151" t="str">
            <v>泰国</v>
          </cell>
          <cell r="T151" t="str">
            <v>ม.3</v>
          </cell>
          <cell r="U151" t="str">
            <v>84 ม.4 ต.สะอาด อ.น้ำพอง จ.ขอนแก่น</v>
          </cell>
          <cell r="V151" t="str">
            <v>237/7 ม.5 ต.มะขามคู่ อ.นิคมพัฒนา จ.ระยอง</v>
          </cell>
          <cell r="W151" t="str">
            <v>รายเดือน</v>
          </cell>
        </row>
        <row r="152">
          <cell r="B152">
            <v>69079</v>
          </cell>
          <cell r="C152" t="str">
            <v>นายศรราม  พันธ์ดวง</v>
          </cell>
          <cell r="D152" t="str">
            <v>MR.SORNRAM PHANDUANG</v>
          </cell>
          <cell r="E152" t="str">
            <v>Male</v>
          </cell>
          <cell r="F152">
            <v>46163</v>
          </cell>
          <cell r="G152">
            <v>46223</v>
          </cell>
          <cell r="H152">
            <v>46253</v>
          </cell>
          <cell r="I152">
            <v>46282</v>
          </cell>
          <cell r="J152" t="str">
            <v>0 ปี 0 เดือน 4 วัน</v>
          </cell>
          <cell r="K152" t="str">
            <v>ประกอบ</v>
          </cell>
          <cell r="L152" t="str">
            <v>组装 H1 
เจ้าหน้าที่ประกอบ H1</v>
          </cell>
          <cell r="M152" t="str">
            <v>Assembly</v>
          </cell>
          <cell r="N152">
            <v>37339</v>
          </cell>
          <cell r="O152">
            <v>24</v>
          </cell>
          <cell r="P152" t="str">
            <v>064-075-1032</v>
          </cell>
          <cell r="Q152" t="str">
            <v>1-4309-012997-31-8</v>
          </cell>
          <cell r="R152" t="str">
            <v>ไทย</v>
          </cell>
          <cell r="S152" t="str">
            <v>泰国</v>
          </cell>
          <cell r="T152" t="str">
            <v>ม.3</v>
          </cell>
          <cell r="U152" t="str">
            <v>2 ม.10 ต.เซกา อ.เซกา จ.บึงกาฬ</v>
          </cell>
          <cell r="V152" t="str">
            <v>123/6 ม.4 ต.พนานิคม อ.นิคมพัฒนา จ.ระยอง</v>
          </cell>
          <cell r="W152" t="str">
            <v>รายเดือน</v>
          </cell>
        </row>
        <row r="153">
          <cell r="B153">
            <v>69080</v>
          </cell>
          <cell r="C153" t="str">
            <v>นายภิญโญ  อินทรสงเคราะห์</v>
          </cell>
          <cell r="D153" t="str">
            <v>MR.PHINYO AINTHARASONGKHOAL</v>
          </cell>
          <cell r="E153" t="str">
            <v>Male</v>
          </cell>
          <cell r="F153">
            <v>46163</v>
          </cell>
          <cell r="G153">
            <v>46223</v>
          </cell>
          <cell r="H153">
            <v>46253</v>
          </cell>
          <cell r="I153">
            <v>46282</v>
          </cell>
          <cell r="J153" t="str">
            <v>0 ปี 0 เดือน 4 วัน</v>
          </cell>
          <cell r="K153" t="str">
            <v>คลังสินค้า</v>
          </cell>
          <cell r="L153" t="str">
            <v>仓库管理员
เจ้าหน้าที่คลังสินค้า</v>
          </cell>
          <cell r="M153" t="str">
            <v>Warehouse</v>
          </cell>
          <cell r="N153">
            <v>36824</v>
          </cell>
          <cell r="O153">
            <v>25</v>
          </cell>
          <cell r="P153" t="str">
            <v>095-452-6081</v>
          </cell>
          <cell r="Q153" t="str">
            <v>1-4103-01139-75-4</v>
          </cell>
          <cell r="R153" t="str">
            <v>ไทย</v>
          </cell>
          <cell r="S153" t="str">
            <v>泰国</v>
          </cell>
          <cell r="T153" t="str">
            <v>ปวส.</v>
          </cell>
          <cell r="U153" t="str">
            <v>40/1 ม.1 ต.โนนทราย อ.หนองวัวซอ จ.อุดรธานี</v>
          </cell>
          <cell r="V153" t="str">
            <v>171/134 ม.6 ต.มาบยางพร อ.ปลวกแดง จ.ระยอง</v>
          </cell>
          <cell r="W153" t="str">
            <v>รายเดือน</v>
          </cell>
        </row>
        <row r="154">
          <cell r="B154">
            <v>69081</v>
          </cell>
          <cell r="C154" t="str">
            <v>นายธานินทร์  โพยนอก</v>
          </cell>
          <cell r="D154" t="str">
            <v>MR.TANIN POINOG</v>
          </cell>
          <cell r="E154" t="str">
            <v>Male</v>
          </cell>
          <cell r="F154">
            <v>46163</v>
          </cell>
          <cell r="G154">
            <v>46223</v>
          </cell>
          <cell r="H154">
            <v>46253</v>
          </cell>
          <cell r="I154">
            <v>46282</v>
          </cell>
          <cell r="J154" t="str">
            <v>0 ปี 0 เดือน 4 วัน</v>
          </cell>
          <cell r="K154" t="str">
            <v>Stamping</v>
          </cell>
          <cell r="L154" t="str">
            <v>冲压操作工150T
เจ้าหน้าที่ปั๊มงาน150ตัน</v>
          </cell>
          <cell r="M154" t="str">
            <v>Stamping</v>
          </cell>
          <cell r="N154">
            <v>38080</v>
          </cell>
          <cell r="O154">
            <v>22</v>
          </cell>
          <cell r="P154" t="str">
            <v>080-902-8707</v>
          </cell>
          <cell r="Q154" t="str">
            <v>1-4175-00037-12-5</v>
          </cell>
          <cell r="R154" t="str">
            <v>ไทย</v>
          </cell>
          <cell r="S154" t="str">
            <v>泰国</v>
          </cell>
          <cell r="T154" t="str">
            <v>ม.3</v>
          </cell>
          <cell r="U154" t="str">
            <v>132 ม.17 ต.บ้านดุง อ.บ้านดุง จ.อุดรธานี</v>
          </cell>
          <cell r="V154" t="str">
            <v>777/15 ม.1 ต.มาบยางพร อ.ปลวกแดง จ.ระยอง</v>
          </cell>
          <cell r="W154" t="str">
            <v>รายเดือน</v>
          </cell>
        </row>
        <row r="155">
          <cell r="B155">
            <v>69082</v>
          </cell>
          <cell r="C155" t="str">
            <v>นางสาวสุวลักษณ์  ศรีรัตน์</v>
          </cell>
          <cell r="D155" t="str">
            <v>MS.SUWALAK SRIRAT</v>
          </cell>
          <cell r="E155" t="str">
            <v>Female</v>
          </cell>
          <cell r="F155">
            <v>46163</v>
          </cell>
          <cell r="G155">
            <v>46223</v>
          </cell>
          <cell r="H155">
            <v>46253</v>
          </cell>
          <cell r="I155">
            <v>46282</v>
          </cell>
          <cell r="J155" t="str">
            <v>0 ปี 0 เดือน 4 วัน</v>
          </cell>
          <cell r="K155" t="str">
            <v>ประกอบ</v>
          </cell>
          <cell r="L155" t="str">
            <v>组装H1
เจ้าหน้าที่ประกอบH1</v>
          </cell>
          <cell r="M155" t="str">
            <v>Assembly</v>
          </cell>
          <cell r="N155">
            <v>37192</v>
          </cell>
          <cell r="O155">
            <v>24</v>
          </cell>
          <cell r="P155" t="str">
            <v>063-882-7761</v>
          </cell>
          <cell r="Q155" t="str">
            <v>1-4309-01293-33-9</v>
          </cell>
          <cell r="R155" t="str">
            <v>ไทย</v>
          </cell>
          <cell r="S155" t="str">
            <v>泰国</v>
          </cell>
          <cell r="T155" t="str">
            <v>ปวช.</v>
          </cell>
          <cell r="U155" t="str">
            <v>109 ม.1 ต.เซกา อ.เซกา จ.บึงกาฬ</v>
          </cell>
          <cell r="V155" t="str">
            <v>123/6 ม.4 ต.พนานิคม อ.นิคมพัฒนา จ.ระยอง</v>
          </cell>
          <cell r="W155" t="str">
            <v>รายเดือน</v>
          </cell>
        </row>
        <row r="156">
          <cell r="B156">
            <v>69083</v>
          </cell>
          <cell r="C156" t="str">
            <v>นางสาวรุ่งนภา เรืองรุ่ง</v>
          </cell>
          <cell r="D156" t="str">
            <v>MS.RUNGNAPHA RUEANGRUNG</v>
          </cell>
          <cell r="E156" t="str">
            <v>Female</v>
          </cell>
          <cell r="F156">
            <v>46163</v>
          </cell>
          <cell r="G156">
            <v>46223</v>
          </cell>
          <cell r="H156">
            <v>46253</v>
          </cell>
          <cell r="I156">
            <v>46282</v>
          </cell>
          <cell r="J156" t="str">
            <v>0 ปี 0 เดือน 4 วัน</v>
          </cell>
          <cell r="K156" t="str">
            <v>ประกอบ</v>
          </cell>
          <cell r="L156" t="str">
            <v>组装H1
เจ้าหน้าที่ประกอบH1</v>
          </cell>
          <cell r="M156" t="str">
            <v>Assembly</v>
          </cell>
          <cell r="N156">
            <v>35569</v>
          </cell>
          <cell r="O156">
            <v>29</v>
          </cell>
          <cell r="P156" t="str">
            <v>093-192-7115</v>
          </cell>
          <cell r="Q156" t="str">
            <v>1-1005-01414-58-1</v>
          </cell>
          <cell r="R156" t="str">
            <v>ไทย</v>
          </cell>
          <cell r="S156" t="str">
            <v>泰国</v>
          </cell>
          <cell r="T156" t="str">
            <v>ปวส.</v>
          </cell>
          <cell r="U156" t="str">
            <v>21 ม.1 ต.สงเปลือย อ.เขาวง จ.กาฬสินธุ์</v>
          </cell>
          <cell r="V156" t="str">
            <v>288/282 ม.3 ต.บ่อวิน อ.ศรีราชา จ.ชลบุรี</v>
          </cell>
          <cell r="W156" t="str">
            <v>รายเดือน</v>
          </cell>
        </row>
        <row r="157">
          <cell r="B157">
            <v>69084</v>
          </cell>
          <cell r="C157" t="str">
            <v>นายกฤษณะ โพศรี</v>
          </cell>
          <cell r="D157" t="str">
            <v>MR.KITSANA PHOSEE</v>
          </cell>
          <cell r="E157" t="str">
            <v>Male</v>
          </cell>
          <cell r="F157">
            <v>46163</v>
          </cell>
          <cell r="G157">
            <v>46223</v>
          </cell>
          <cell r="H157">
            <v>46253</v>
          </cell>
          <cell r="I157">
            <v>46282</v>
          </cell>
          <cell r="J157" t="str">
            <v>0 ปี 0 เดือน 4 วัน</v>
          </cell>
          <cell r="K157" t="str">
            <v>Equipment</v>
          </cell>
          <cell r="L157" t="str">
            <v>数控操作员CNCเจ้าหน้าที่ควบคุมเครื่องCNC</v>
          </cell>
          <cell r="M157" t="str">
            <v>Equipment</v>
          </cell>
          <cell r="N157">
            <v>36965</v>
          </cell>
          <cell r="O157">
            <v>25</v>
          </cell>
          <cell r="P157" t="str">
            <v>063-007-1647</v>
          </cell>
          <cell r="Q157" t="str">
            <v>1-8498-01191-94-6</v>
          </cell>
          <cell r="R157" t="str">
            <v>ไทย</v>
          </cell>
          <cell r="S157" t="str">
            <v>泰国</v>
          </cell>
          <cell r="T157" t="str">
            <v>ปวช.</v>
          </cell>
          <cell r="U157" t="str">
            <v>53 ม.2 ต.ป่าประดู่ อ.สำโรงทาบ จ.สุรินทร์</v>
          </cell>
          <cell r="V157" t="str">
            <v>269/8 ม.5 ต.มาบยางพร อ.ปลวกแดง จ.ระยอง</v>
          </cell>
          <cell r="W157" t="str">
            <v>รายเดือน</v>
          </cell>
        </row>
        <row r="158">
          <cell r="B158">
            <v>69085</v>
          </cell>
          <cell r="C158" t="str">
            <v>นายทศพณ นวลวัน</v>
          </cell>
          <cell r="D158" t="str">
            <v>MR.THOSSAPHON NUENWAN</v>
          </cell>
          <cell r="E158" t="str">
            <v>Male</v>
          </cell>
          <cell r="F158">
            <v>46163</v>
          </cell>
          <cell r="G158">
            <v>46223</v>
          </cell>
          <cell r="H158">
            <v>46253</v>
          </cell>
          <cell r="I158">
            <v>46282</v>
          </cell>
          <cell r="J158" t="str">
            <v>0 ปี 0 เดือน 4 วัน</v>
          </cell>
          <cell r="K158" t="str">
            <v>Bending</v>
          </cell>
          <cell r="L158" t="str">
            <v>折弯机操作员
เจ้าหน้าที่ควบคุมเครื่องBending</v>
          </cell>
          <cell r="M158" t="str">
            <v>Bending</v>
          </cell>
          <cell r="N158">
            <v>37032</v>
          </cell>
          <cell r="O158">
            <v>25</v>
          </cell>
          <cell r="P158" t="str">
            <v>098-754-3217</v>
          </cell>
          <cell r="Q158" t="str">
            <v>1-3391-00001-03-7</v>
          </cell>
          <cell r="R158" t="str">
            <v>ไทย</v>
          </cell>
          <cell r="S158" t="str">
            <v>泰国</v>
          </cell>
          <cell r="T158" t="str">
            <v>ม.3</v>
          </cell>
          <cell r="U158" t="str">
            <v>31 ม.7 ต.หนองบัวแดง อ.ศิลาลาด จ.ศรีสะเกษ</v>
          </cell>
          <cell r="V158" t="str">
            <v>5577/14 ม.4 ต.มาบยางพร อ.ปลวกแดง จ.ระยอง</v>
          </cell>
          <cell r="W158" t="str">
            <v>รายเดือน</v>
          </cell>
        </row>
        <row r="159">
          <cell r="B159">
            <v>69086</v>
          </cell>
          <cell r="C159" t="str">
            <v>นายธีรพงษ์ บุญคำ</v>
          </cell>
          <cell r="D159" t="str">
            <v>MR.TEERAPONG BOONKHAM</v>
          </cell>
          <cell r="E159" t="str">
            <v>Male</v>
          </cell>
          <cell r="F159">
            <v>46163</v>
          </cell>
          <cell r="G159">
            <v>46223</v>
          </cell>
          <cell r="H159">
            <v>46253</v>
          </cell>
          <cell r="I159">
            <v>46282</v>
          </cell>
          <cell r="J159" t="str">
            <v>0 ปี 0 เดือน 4 วัน</v>
          </cell>
          <cell r="K159" t="str">
            <v>Welding</v>
          </cell>
          <cell r="L159" t="str">
            <v>Robot焊接操作工
เจ้าหน้าที่เชื่อมโรบอท</v>
          </cell>
          <cell r="M159" t="str">
            <v>Welding</v>
          </cell>
          <cell r="N159">
            <v>38936</v>
          </cell>
          <cell r="O159">
            <v>19</v>
          </cell>
          <cell r="P159" t="str">
            <v>064-343-2958</v>
          </cell>
          <cell r="Q159" t="str">
            <v>1-3509-01043-20-1</v>
          </cell>
          <cell r="R159" t="str">
            <v>ไทย</v>
          </cell>
          <cell r="S159" t="str">
            <v>泰国</v>
          </cell>
          <cell r="T159" t="str">
            <v>ปวช.</v>
          </cell>
          <cell r="U159" t="str">
            <v>138 ม.4 ตไทยเจริญ อ.ไทยเจริญ จ.ยโสธร</v>
          </cell>
          <cell r="V159" t="str">
            <v>998/60 ม.1 ต.แม่น้ำคู้ อ.ปลวกแดง จ.ระยอง</v>
          </cell>
          <cell r="W159" t="str">
            <v>รายเดือน</v>
          </cell>
        </row>
        <row r="160">
          <cell r="B160">
            <v>69087</v>
          </cell>
          <cell r="C160" t="str">
            <v>นายวันชนะ คีรถรัมย์</v>
          </cell>
          <cell r="D160" t="str">
            <v>MR.WANCHANA DEERODRAM</v>
          </cell>
          <cell r="E160" t="str">
            <v>Male</v>
          </cell>
          <cell r="F160">
            <v>46163</v>
          </cell>
          <cell r="G160">
            <v>46223</v>
          </cell>
          <cell r="H160">
            <v>46253</v>
          </cell>
          <cell r="I160">
            <v>46282</v>
          </cell>
          <cell r="J160" t="str">
            <v>0 ปี 0 เดือน 4 วัน</v>
          </cell>
          <cell r="K160" t="str">
            <v>Welding</v>
          </cell>
          <cell r="L160" t="str">
            <v>Robot焊接操作工
เจ้าหน้าที่เชื่อมโรบอท</v>
          </cell>
          <cell r="M160" t="str">
            <v>Welding</v>
          </cell>
          <cell r="N160">
            <v>34209</v>
          </cell>
          <cell r="O160">
            <v>32</v>
          </cell>
          <cell r="P160" t="str">
            <v>063-602-6574</v>
          </cell>
          <cell r="Q160" t="str">
            <v>1-3110-00203-54-4</v>
          </cell>
          <cell r="R160" t="str">
            <v>ไทย</v>
          </cell>
          <cell r="S160" t="str">
            <v>泰国</v>
          </cell>
          <cell r="T160" t="str">
            <v>ม.3</v>
          </cell>
          <cell r="U160" t="str">
            <v>67 ม.16 ต.หินโคน อ.ลำปลายมาศ จ.บุรีรัมย์</v>
          </cell>
          <cell r="V160" t="str">
            <v>290/41 ม.6 ต.มาบยางพร อ.ปลวกแดง จ.ระยอง</v>
          </cell>
          <cell r="W160" t="str">
            <v>รายเดือน</v>
          </cell>
        </row>
        <row r="161">
          <cell r="B161">
            <v>69088</v>
          </cell>
          <cell r="C161" t="str">
            <v>นายอภิสิทธิ์ เกยสุวรรณ์</v>
          </cell>
          <cell r="D161" t="str">
            <v>MR.APHISIT KOEISUWAN</v>
          </cell>
          <cell r="E161" t="str">
            <v>Male</v>
          </cell>
          <cell r="F161">
            <v>46163</v>
          </cell>
          <cell r="G161">
            <v>46223</v>
          </cell>
          <cell r="H161">
            <v>46253</v>
          </cell>
          <cell r="I161">
            <v>46282</v>
          </cell>
          <cell r="J161" t="str">
            <v>0 ปี 0 เดือน 4 วัน</v>
          </cell>
          <cell r="K161" t="str">
            <v>Welding</v>
          </cell>
          <cell r="L161" t="str">
            <v>Robot焊接操作工
เจ้าหน้าที่เชื่อมโรบอท</v>
          </cell>
          <cell r="M161" t="str">
            <v>Welding</v>
          </cell>
          <cell r="N161">
            <v>36291</v>
          </cell>
          <cell r="O161">
            <v>27</v>
          </cell>
          <cell r="P161" t="str">
            <v>063-972-0361</v>
          </cell>
          <cell r="Q161" t="str">
            <v>1-3610-00311-77-1</v>
          </cell>
          <cell r="R161" t="str">
            <v>ไทย</v>
          </cell>
          <cell r="S161" t="str">
            <v>泰国</v>
          </cell>
          <cell r="T161" t="str">
            <v>ม.6</v>
          </cell>
          <cell r="U161" t="str">
            <v>215 ม.15 ต.บ้านหัน อ.เกษตรสมบูรณ์ จ.ชัยภูมิ</v>
          </cell>
          <cell r="V161" t="str">
            <v>29/16 ม.8 ต.หนองปรือ อ.บางละมุง จ.ชลบุรี</v>
          </cell>
          <cell r="W161" t="str">
            <v>รายเดือน</v>
          </cell>
        </row>
        <row r="162">
          <cell r="B162">
            <v>69089</v>
          </cell>
          <cell r="C162" t="str">
            <v>นายศตวรรษ ขันข่อย</v>
          </cell>
          <cell r="D162" t="str">
            <v>MR.SATTAWAN KHANKHOY</v>
          </cell>
          <cell r="E162" t="str">
            <v>Male</v>
          </cell>
          <cell r="F162">
            <v>46163</v>
          </cell>
          <cell r="G162">
            <v>46223</v>
          </cell>
          <cell r="H162">
            <v>46253</v>
          </cell>
          <cell r="I162">
            <v>46282</v>
          </cell>
          <cell r="J162" t="str">
            <v>0 ปี 0 เดือน 4 วัน</v>
          </cell>
          <cell r="K162" t="str">
            <v>Stamping</v>
          </cell>
          <cell r="L162" t="str">
            <v>冲压操作工150T
เจ้าหน้าที่ปั๊มงาน150ตัน</v>
          </cell>
          <cell r="M162" t="str">
            <v>Stamping</v>
          </cell>
          <cell r="N162">
            <v>35742</v>
          </cell>
          <cell r="O162">
            <v>28</v>
          </cell>
          <cell r="P162" t="str">
            <v>063-157-4524</v>
          </cell>
          <cell r="Q162" t="str">
            <v>1-6299-00443-90-2</v>
          </cell>
          <cell r="R162" t="str">
            <v>ไทย</v>
          </cell>
          <cell r="S162" t="str">
            <v>泰国</v>
          </cell>
          <cell r="T162" t="str">
            <v>ม.3</v>
          </cell>
          <cell r="U162" t="str">
            <v>22/2 ม.11 ต.ประชาสุขสันต์ อ.ลานกระบือ จ.กำแพงเพชร</v>
          </cell>
          <cell r="V162" t="str">
            <v>23/85 ม.4 ต.บ่อวิน อ.ศรีราชา จ.ชลบุรี</v>
          </cell>
          <cell r="W162" t="str">
            <v>รายเดือน</v>
          </cell>
        </row>
        <row r="163">
          <cell r="B163">
            <v>69090</v>
          </cell>
          <cell r="C163" t="str">
            <v>นางสาวณิชชภัทร ร่มเย็น</v>
          </cell>
          <cell r="D163" t="str">
            <v>MS.NITCHAPAT ROMYEN</v>
          </cell>
          <cell r="E163" t="str">
            <v>Female</v>
          </cell>
          <cell r="F163">
            <v>46164</v>
          </cell>
          <cell r="G163">
            <v>46224</v>
          </cell>
          <cell r="H163">
            <v>46254</v>
          </cell>
          <cell r="I163">
            <v>46283</v>
          </cell>
          <cell r="J163" t="str">
            <v>0 ปี 0 เดือน 3 วัน</v>
          </cell>
          <cell r="K163" t="str">
            <v>บริหารและวางแผนการผลิต</v>
          </cell>
          <cell r="L163" t="str">
            <v>生产计划员中文 เจ้าหน้าที่วางแผนการผลิต</v>
          </cell>
          <cell r="M163" t="str">
            <v>Planning</v>
          </cell>
          <cell r="N163">
            <v>34247</v>
          </cell>
          <cell r="O163">
            <v>32</v>
          </cell>
          <cell r="P163" t="str">
            <v>099-135-5787</v>
          </cell>
          <cell r="Q163" t="str">
            <v>1-6097-00140-44-2</v>
          </cell>
          <cell r="R163" t="str">
            <v>ไทย</v>
          </cell>
          <cell r="S163" t="str">
            <v>泰国</v>
          </cell>
          <cell r="T163" t="str">
            <v>ป.ตรี</v>
          </cell>
          <cell r="U163" t="str">
            <v>39/91 ซ.อุดมสุข ถ.วัดโขดหิน-เขาไผ่ ต.ทับมา อ.เมืองระยอง จ.ระยอง</v>
          </cell>
          <cell r="V163" t="str">
            <v>39/91 ซ.อุดมสุข ถ.วัดโขดหิน-เขาไผ่ ต.ทับมา อ.เมืองระยอง จ.ระยอง</v>
          </cell>
          <cell r="W163" t="str">
            <v>รายเดือน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去施耐德培训"/>
      <sheetName val="人员稳定率"/>
      <sheetName val="组织结构"/>
      <sheetName val="有图片มีรูปถ่าย"/>
      <sheetName val="中文"/>
      <sheetName val="รูปพนักงาน  照片  "/>
      <sheetName val="ประวัติพนักงาน "/>
      <sheetName val="DATA"/>
      <sheetName val="临时员工"/>
      <sheetName val="ลาออก-辞职"/>
      <sheetName val="เซ็นสัญญา"/>
      <sheetName val="รายชื่อตรวจประวัติ"/>
      <sheetName val="ลาออก"/>
      <sheetName val="ลาออก (2)"/>
      <sheetName val="เปิดบัญชี"/>
      <sheetName val="Sheet3"/>
      <sheetName val="แจ้งเข้าประกันสังคม"/>
      <sheetName val="บันทึกใบเตือน"/>
      <sheetName val="เซ็นสัญญา (2)"/>
      <sheetName val="เซ็นใบผ่าโปร"/>
      <sheetName val="Sheet1"/>
      <sheetName val="Sheet2"/>
      <sheetName val="พนักงาน อายุงานครบ1ปี"/>
      <sheetName val="DATA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B2" t="str">
            <v>รหัสพนักงาน
工号</v>
          </cell>
          <cell r="C2" t="str">
            <v>ชื่อ-สกุล (ภาษาไทย)
泰文名字</v>
          </cell>
          <cell r="D2" t="str">
            <v>ชื่อ-สกุล (ภาษาอังกฤษ)
英文名字</v>
          </cell>
          <cell r="E2" t="str">
            <v>เพศ</v>
          </cell>
          <cell r="F2" t="str">
            <v>เริ่มทำงาน
入职日期</v>
          </cell>
          <cell r="G2" t="str">
            <v>ประเมินทดลองงาน60วัน</v>
          </cell>
          <cell r="H2" t="str">
            <v>ประเมินทดลองงาน90วัน</v>
          </cell>
          <cell r="I2" t="str">
            <v>ผ่านทดลองงาน</v>
          </cell>
          <cell r="J2" t="str">
            <v>อายุงาน
工龄</v>
          </cell>
          <cell r="K2" t="str">
            <v>แผนก 部門</v>
          </cell>
          <cell r="L2" t="str">
            <v>ตำแหน่ง</v>
          </cell>
          <cell r="M2" t="str">
            <v>Department</v>
          </cell>
          <cell r="N2" t="str">
            <v>วันเดือนปีเกิด
出生日期</v>
          </cell>
          <cell r="O2" t="str">
            <v>อายุ (ปี)
年龄</v>
          </cell>
          <cell r="P2" t="str">
            <v>เบอร์โทร
电话号码</v>
          </cell>
          <cell r="Q2" t="str">
            <v>รหัสบัตรประชาชน
身份证号/护照号</v>
          </cell>
          <cell r="R2" t="str">
            <v>สัญชาติ</v>
          </cell>
          <cell r="S2" t="str">
            <v>国籍</v>
          </cell>
          <cell r="T2" t="str">
            <v>การศึกษา</v>
          </cell>
          <cell r="U2" t="str">
            <v>ที่อยู่ตามทะเบียนบ้าน</v>
          </cell>
          <cell r="V2" t="str">
            <v>ที่อยู่ปัจจุบัน</v>
          </cell>
          <cell r="W2" t="str">
            <v>ประเภท</v>
          </cell>
          <cell r="X2" t="str">
            <v>สถานะ</v>
          </cell>
          <cell r="Y2" t="str">
            <v>Remark</v>
          </cell>
        </row>
        <row r="3">
          <cell r="B3">
            <v>61002</v>
          </cell>
          <cell r="C3" t="str">
            <v>นายวีรพล แสนสิม</v>
          </cell>
          <cell r="D3" t="str">
            <v>MR.WEERAPHON SANSIM</v>
          </cell>
          <cell r="E3" t="str">
            <v>Male</v>
          </cell>
          <cell r="F3">
            <v>43222</v>
          </cell>
          <cell r="G3">
            <v>43282</v>
          </cell>
          <cell r="H3">
            <v>43312</v>
          </cell>
          <cell r="I3">
            <v>43341</v>
          </cell>
          <cell r="J3" t="str">
            <v>8 ปี 0 เดือน 23 วัน</v>
          </cell>
          <cell r="K3" t="str">
            <v>ซ่อมบำรุง</v>
          </cell>
          <cell r="L3" t="str">
            <v>Production Manager</v>
          </cell>
          <cell r="M3" t="str">
            <v>Equipment</v>
          </cell>
          <cell r="N3">
            <v>34931</v>
          </cell>
          <cell r="O3">
            <v>30</v>
          </cell>
          <cell r="P3" t="str">
            <v>092-491-0797</v>
          </cell>
          <cell r="Q3" t="str">
            <v>1-3501-00361-72-8</v>
          </cell>
          <cell r="R3" t="str">
            <v>ไทย</v>
          </cell>
          <cell r="S3" t="str">
            <v>泰国</v>
          </cell>
          <cell r="T3" t="str">
            <v>ปวส.</v>
          </cell>
          <cell r="U3" t="str">
            <v>70 หมู่ที่ 1 ตำบลแคนน้อย อำเภอคำเขื่อนแก้ว จังหวัดยโสธร</v>
          </cell>
          <cell r="V3" t="str">
            <v>159หมู่ที่ 6 ตำบลมาบยางพร อำเภอปลวกแดง จังหวัดระยอง</v>
          </cell>
          <cell r="W3" t="str">
            <v>รายเดือน</v>
          </cell>
          <cell r="X3" t="str">
            <v>在职</v>
          </cell>
        </row>
        <row r="4">
          <cell r="B4">
            <v>61011</v>
          </cell>
          <cell r="C4" t="str">
            <v>นายสามารถ กัญจนพานิช</v>
          </cell>
          <cell r="D4" t="str">
            <v>MR. SAMART  KANJANAPHANICH</v>
          </cell>
          <cell r="E4" t="str">
            <v>Male</v>
          </cell>
          <cell r="F4">
            <v>43395</v>
          </cell>
          <cell r="G4">
            <v>43455</v>
          </cell>
          <cell r="H4">
            <v>43485</v>
          </cell>
          <cell r="I4">
            <v>43514</v>
          </cell>
          <cell r="J4" t="str">
            <v>7 ปี 7 เดือน 3 วัน</v>
          </cell>
          <cell r="K4" t="str">
            <v>บริหารและวางแผนการผลิต</v>
          </cell>
          <cell r="L4" t="str">
            <v>Business Manager</v>
          </cell>
          <cell r="M4" t="str">
            <v>Purchase</v>
          </cell>
          <cell r="N4">
            <v>35351</v>
          </cell>
          <cell r="O4">
            <v>29</v>
          </cell>
          <cell r="P4" t="str">
            <v>093-050-4140</v>
          </cell>
          <cell r="Q4" t="str">
            <v>5-5715-00059-66-4</v>
          </cell>
          <cell r="R4" t="str">
            <v>ไทย</v>
          </cell>
          <cell r="S4" t="str">
            <v>泰国</v>
          </cell>
          <cell r="T4" t="str">
            <v>ปวส.</v>
          </cell>
          <cell r="U4" t="str">
            <v>353 หมู่ที่16 ตำบลแม่สลองใน อำเภอแม่ฟ้าหลวง จังหวัดเชียงราย</v>
          </cell>
          <cell r="V4" t="str">
            <v>379/187 หมู่ที่1 ต.มะขามคู่ อ.นิคมพัฒนา จ.ระยอง 21180</v>
          </cell>
          <cell r="W4" t="str">
            <v>รายเดือน</v>
          </cell>
          <cell r="X4" t="str">
            <v>在职</v>
          </cell>
        </row>
        <row r="5">
          <cell r="B5">
            <v>62011</v>
          </cell>
          <cell r="C5" t="str">
            <v>นางสาวปวีณา นิลวารีย์</v>
          </cell>
          <cell r="D5" t="str">
            <v>MISS PAWENA NILVAREE</v>
          </cell>
          <cell r="E5" t="str">
            <v>Female</v>
          </cell>
          <cell r="F5">
            <v>43788</v>
          </cell>
          <cell r="G5">
            <v>43848</v>
          </cell>
          <cell r="H5">
            <v>43878</v>
          </cell>
          <cell r="I5">
            <v>43907</v>
          </cell>
          <cell r="J5" t="str">
            <v>6 ปี 6 เดือน 6 วัน</v>
          </cell>
          <cell r="K5" t="str">
            <v>บริหารและวางแผนการผลิต</v>
          </cell>
          <cell r="L5" t="str">
            <v>计划员
เจ้าหน้าที่วางแผนการผลิต</v>
          </cell>
          <cell r="M5" t="str">
            <v>Production Management and Planning</v>
          </cell>
          <cell r="N5">
            <v>35045</v>
          </cell>
          <cell r="O5">
            <v>30</v>
          </cell>
          <cell r="P5" t="str">
            <v>090-441-0448</v>
          </cell>
          <cell r="Q5" t="str">
            <v>1-3111-00243-36-0</v>
          </cell>
          <cell r="R5" t="str">
            <v>ไทย</v>
          </cell>
          <cell r="S5" t="str">
            <v>泰国</v>
          </cell>
          <cell r="T5" t="str">
            <v>ม.6</v>
          </cell>
          <cell r="U5" t="str">
            <v>10 หมุ่ที่23 ตำบลนิคม อำเภอสตึก จังหวัดบุรีรัม์</v>
          </cell>
          <cell r="V5" t="str">
            <v>179/154 หมู่ที่3 ต.มาบยางพร อำเภอปลวกแดง จังหวัดระยอง</v>
          </cell>
          <cell r="W5" t="str">
            <v>รายเดือน</v>
          </cell>
          <cell r="X5" t="str">
            <v>在职</v>
          </cell>
        </row>
        <row r="6">
          <cell r="B6">
            <v>63009</v>
          </cell>
          <cell r="C6" t="str">
            <v>นายภาคภูมิ เยเซอะ</v>
          </cell>
          <cell r="D6" t="str">
            <v>MR. PAKPHUM YESOE</v>
          </cell>
          <cell r="E6" t="str">
            <v>Male</v>
          </cell>
          <cell r="F6">
            <v>44053</v>
          </cell>
          <cell r="G6">
            <v>44113</v>
          </cell>
          <cell r="H6">
            <v>44143</v>
          </cell>
          <cell r="I6">
            <v>44172</v>
          </cell>
          <cell r="J6" t="str">
            <v>5 ปี 9 เดือน 15 วัน</v>
          </cell>
          <cell r="K6" t="str">
            <v>ประกอบ</v>
          </cell>
          <cell r="L6" t="str">
            <v>组装班长H9
หัวหน้างานประกอบH9</v>
          </cell>
          <cell r="M6" t="str">
            <v>Assembly</v>
          </cell>
          <cell r="N6">
            <v>36785</v>
          </cell>
          <cell r="O6">
            <v>25</v>
          </cell>
          <cell r="P6" t="str">
            <v>083-001-7408</v>
          </cell>
          <cell r="Q6" t="str">
            <v>1-5715-00014-28-5</v>
          </cell>
          <cell r="R6" t="str">
            <v>ไทย</v>
          </cell>
          <cell r="S6" t="str">
            <v>泰国</v>
          </cell>
          <cell r="T6" t="str">
            <v>ม.6</v>
          </cell>
          <cell r="U6" t="str">
            <v>353 หมู่ที่16 ต.แม่สลองใน อ.แม่ฟ้าหลวง จ.เชียงราย</v>
          </cell>
          <cell r="V6" t="str">
            <v>379/187 หมู่ที่1 ต.มะขามคู่ อ.นิคมพัฒนา จ.ระยอง 21180</v>
          </cell>
          <cell r="W6" t="str">
            <v>รายเดือน</v>
          </cell>
          <cell r="X6" t="str">
            <v>在职</v>
          </cell>
        </row>
        <row r="7">
          <cell r="B7">
            <v>64003</v>
          </cell>
          <cell r="C7" t="str">
            <v>นายณรงค์วิทย์ แก้วสาร</v>
          </cell>
          <cell r="D7" t="str">
            <v>MR. NARONGWIT KAEOSAN</v>
          </cell>
          <cell r="E7" t="str">
            <v>Male</v>
          </cell>
          <cell r="F7">
            <v>44228</v>
          </cell>
          <cell r="G7">
            <v>44288</v>
          </cell>
          <cell r="H7">
            <v>44318</v>
          </cell>
          <cell r="I7">
            <v>44347</v>
          </cell>
          <cell r="J7" t="str">
            <v>5 ปี 3 เดือน 24 วัน</v>
          </cell>
          <cell r="K7" t="str">
            <v>Stamping</v>
          </cell>
          <cell r="L7" t="str">
            <v>冲压组长
หัวหน้าทีมปั๊มงาน</v>
          </cell>
          <cell r="M7" t="str">
            <v>Stamping</v>
          </cell>
          <cell r="N7">
            <v>34066</v>
          </cell>
          <cell r="O7">
            <v>33</v>
          </cell>
          <cell r="P7" t="str">
            <v>097-051-9806</v>
          </cell>
          <cell r="Q7" t="str">
            <v>1-3501-00274-39-6</v>
          </cell>
          <cell r="R7" t="str">
            <v>ไทย</v>
          </cell>
          <cell r="S7" t="str">
            <v>泰国</v>
          </cell>
          <cell r="T7" t="str">
            <v>ปวส.</v>
          </cell>
          <cell r="U7" t="str">
            <v>10 หมู่ที่4 ต.ขั้นบันไดใหญ่ อ.เมืองยโสธร จ.ยโสธร</v>
          </cell>
          <cell r="V7" t="str">
            <v>855 หมู่ที่2 ต.พนานิคม อ.นิคมพัฒนา จ.ระยอง</v>
          </cell>
          <cell r="W7" t="str">
            <v>รายเดือน</v>
          </cell>
          <cell r="X7" t="str">
            <v>在职</v>
          </cell>
        </row>
        <row r="8">
          <cell r="B8">
            <v>64006</v>
          </cell>
          <cell r="C8" t="str">
            <v>นางสาวลัดดาพร กมล</v>
          </cell>
          <cell r="D8" t="str">
            <v>MISS LADDAPHON KAMON</v>
          </cell>
          <cell r="E8" t="str">
            <v>Female</v>
          </cell>
          <cell r="F8">
            <v>44233</v>
          </cell>
          <cell r="G8">
            <v>44293</v>
          </cell>
          <cell r="H8">
            <v>44323</v>
          </cell>
          <cell r="I8">
            <v>44352</v>
          </cell>
          <cell r="J8" t="str">
            <v>5 ปี 3 เดือน 19 วัน</v>
          </cell>
          <cell r="K8" t="str">
            <v>คลังสินค้า</v>
          </cell>
          <cell r="L8" t="str">
            <v>仓库管理员
เจ้าหน้าที่คลังสินค้า</v>
          </cell>
          <cell r="M8" t="str">
            <v>Warehouse</v>
          </cell>
          <cell r="N8">
            <v>35782</v>
          </cell>
          <cell r="O8">
            <v>28</v>
          </cell>
          <cell r="P8" t="str">
            <v>064-032-6207</v>
          </cell>
          <cell r="Q8" t="str">
            <v>1-3501-00459-21-3</v>
          </cell>
          <cell r="R8" t="str">
            <v>ไทย</v>
          </cell>
          <cell r="S8" t="str">
            <v>泰国</v>
          </cell>
          <cell r="T8" t="str">
            <v>ปวส.</v>
          </cell>
          <cell r="U8" t="str">
            <v>103 หมู่ที่1 ต.เดิด อ.เมืองยโสธร จ.ยโสธร</v>
          </cell>
          <cell r="V8" t="str">
            <v>855 หมู่ที่2 ต.พนานิคม อ.นิคมพัฒนา จ.ระยอง</v>
          </cell>
          <cell r="W8" t="str">
            <v>รายเดือน</v>
          </cell>
          <cell r="X8" t="str">
            <v>在职</v>
          </cell>
        </row>
        <row r="9">
          <cell r="B9">
            <v>64015</v>
          </cell>
          <cell r="C9" t="str">
            <v>นางสาวบังอร โสลา</v>
          </cell>
          <cell r="D9" t="str">
            <v>MISS BANGON SOLA</v>
          </cell>
          <cell r="E9" t="str">
            <v>Female</v>
          </cell>
          <cell r="F9">
            <v>44286</v>
          </cell>
          <cell r="G9">
            <v>44346</v>
          </cell>
          <cell r="H9">
            <v>44376</v>
          </cell>
          <cell r="I9">
            <v>44405</v>
          </cell>
          <cell r="J9" t="str">
            <v>5 ปี 1 เดือน 24 วัน</v>
          </cell>
          <cell r="K9" t="str">
            <v>ประกอบ</v>
          </cell>
          <cell r="L9" t="str">
            <v>套螺帽
เจ้าหน้าที่Cut chamber</v>
          </cell>
          <cell r="M9" t="str">
            <v>Assembly machine</v>
          </cell>
          <cell r="N9">
            <v>35548</v>
          </cell>
          <cell r="O9">
            <v>29</v>
          </cell>
          <cell r="P9" t="str">
            <v>080-738-3101</v>
          </cell>
          <cell r="Q9" t="str">
            <v>1-4023-00004-91-1</v>
          </cell>
          <cell r="R9" t="str">
            <v>ไทย</v>
          </cell>
          <cell r="S9" t="str">
            <v>泰国</v>
          </cell>
          <cell r="T9" t="str">
            <v>ป.6</v>
          </cell>
          <cell r="U9" t="str">
            <v>32 หมู่ที่10 ต.กุดธาตุ อ.หนองนาคำ จ.ขอนแก่น</v>
          </cell>
          <cell r="V9" t="str">
            <v>8/115 ม.2 ต.พนานิคม อ.นิคมพัฒนา จ.ระยอง</v>
          </cell>
          <cell r="W9" t="str">
            <v>รายเดือน</v>
          </cell>
          <cell r="X9" t="str">
            <v>在职</v>
          </cell>
        </row>
        <row r="10">
          <cell r="B10">
            <v>64016</v>
          </cell>
          <cell r="C10" t="str">
            <v>นางสาวอรพิน เหลาบับภา</v>
          </cell>
          <cell r="D10" t="str">
            <v>MISS ORAPIN LAOBABPA</v>
          </cell>
          <cell r="E10" t="str">
            <v>Female</v>
          </cell>
          <cell r="F10">
            <v>44308</v>
          </cell>
          <cell r="G10">
            <v>44368</v>
          </cell>
          <cell r="H10">
            <v>44398</v>
          </cell>
          <cell r="I10">
            <v>44427</v>
          </cell>
          <cell r="J10" t="str">
            <v>5 ปี 1 เดือน 3 วัน</v>
          </cell>
          <cell r="K10" t="str">
            <v>ประกอบ</v>
          </cell>
          <cell r="L10" t="str">
            <v>套扣操作工组长
หัวหน้าผลิตต๊าปเกลียว</v>
          </cell>
          <cell r="M10" t="str">
            <v>Taping</v>
          </cell>
          <cell r="N10">
            <v>34175</v>
          </cell>
          <cell r="O10">
            <v>32</v>
          </cell>
          <cell r="P10" t="str">
            <v>093-375-8210</v>
          </cell>
          <cell r="Q10" t="str">
            <v>1-4113-00203-57-3</v>
          </cell>
          <cell r="R10" t="str">
            <v>ไทย</v>
          </cell>
          <cell r="S10" t="str">
            <v>泰国</v>
          </cell>
          <cell r="T10" t="str">
            <v>ม.6</v>
          </cell>
          <cell r="U10" t="str">
            <v>120 หมู่ที่7 ต.ทรายทอง อ.ศรีบุญเรือง จ.หนองบัวลำภู</v>
          </cell>
          <cell r="V10" t="str">
            <v>8/115 ม.2 ต.พนานิคม อ.นิคมพัฒนา จ.ระยอง</v>
          </cell>
          <cell r="W10" t="str">
            <v>รายเดือน</v>
          </cell>
          <cell r="X10" t="str">
            <v>在职</v>
          </cell>
        </row>
        <row r="11">
          <cell r="B11">
            <v>64028</v>
          </cell>
          <cell r="C11" t="str">
            <v>阚崎</v>
          </cell>
          <cell r="D11" t="str">
            <v>MR.KAN,QI</v>
          </cell>
          <cell r="E11" t="str">
            <v>Male</v>
          </cell>
          <cell r="F11">
            <v>44317</v>
          </cell>
          <cell r="G11">
            <v>44377</v>
          </cell>
          <cell r="H11">
            <v>44407</v>
          </cell>
          <cell r="I11">
            <v>44436</v>
          </cell>
          <cell r="J11" t="str">
            <v>5 ปี 0 เดือน 24 วัน</v>
          </cell>
          <cell r="K11" t="str">
            <v>Manager</v>
          </cell>
          <cell r="L11" t="str">
            <v>总经理
ผู้จัดการ</v>
          </cell>
          <cell r="M11" t="str">
            <v>HR &amp; Administration</v>
          </cell>
          <cell r="N11">
            <v>32178</v>
          </cell>
          <cell r="O11">
            <v>38</v>
          </cell>
          <cell r="P11" t="str">
            <v>063-027-1848</v>
          </cell>
          <cell r="Q11" t="str">
            <v>EG8511636</v>
          </cell>
          <cell r="R11" t="str">
            <v>จีน</v>
          </cell>
          <cell r="S11" t="str">
            <v>中国</v>
          </cell>
          <cell r="T11" t="str">
            <v>ปวส.</v>
          </cell>
          <cell r="U11" t="str">
            <v>7/533 หมู่ที่6 ต.มาบยางพร อ.ปลวกแดง จ.ระยอง 21141</v>
          </cell>
          <cell r="V11" t="str">
            <v>หมู่บ้านพฤกษ์พิมาน บ่อวิน  250/181 ตำบลบ่อวิน อำเภอศรีราชา ชลบุรี 20230</v>
          </cell>
          <cell r="W11" t="str">
            <v>รายเดือน</v>
          </cell>
          <cell r="X11" t="str">
            <v>在职</v>
          </cell>
        </row>
        <row r="12">
          <cell r="B12">
            <v>64058</v>
          </cell>
          <cell r="C12" t="str">
            <v>นายรณชัย แซ่ย้าง</v>
          </cell>
          <cell r="D12" t="str">
            <v>MR. RONNACHAI SAEYANG</v>
          </cell>
          <cell r="E12" t="str">
            <v>Male</v>
          </cell>
          <cell r="F12">
            <v>44481</v>
          </cell>
          <cell r="G12">
            <v>44541</v>
          </cell>
          <cell r="H12">
            <v>44571</v>
          </cell>
          <cell r="I12">
            <v>44600</v>
          </cell>
          <cell r="J12" t="str">
            <v>4 ปี 7 เดือน 13 วัน</v>
          </cell>
          <cell r="K12" t="str">
            <v>คลังสินค้า</v>
          </cell>
          <cell r="L12" t="str">
            <v>仓库管理员
คลังสินค้า (ขับโฟร์คลิฟทฺ)</v>
          </cell>
          <cell r="M12" t="str">
            <v>Warehouse</v>
          </cell>
          <cell r="N12">
            <v>35499</v>
          </cell>
          <cell r="O12">
            <v>29</v>
          </cell>
          <cell r="P12" t="str">
            <v>067-302-3302</v>
          </cell>
          <cell r="Q12" t="str">
            <v>1-6307-00078-08-1</v>
          </cell>
          <cell r="R12" t="str">
            <v>ไทย</v>
          </cell>
          <cell r="S12" t="str">
            <v>泰国</v>
          </cell>
          <cell r="T12" t="str">
            <v>ป.6</v>
          </cell>
          <cell r="U12" t="str">
            <v>209 หมู่ที่9 ต.คีรีราษฏร์ อ.พบพระ จ.ตาก</v>
          </cell>
          <cell r="V12" t="str">
            <v>299 หมู่ที่5 ต.มะขามคู่ อ.นิคมพัฒนา จ.ระยอง 21180</v>
          </cell>
          <cell r="W12" t="str">
            <v>รายเดือน</v>
          </cell>
          <cell r="X12" t="str">
            <v>在职</v>
          </cell>
        </row>
        <row r="13">
          <cell r="B13">
            <v>65003</v>
          </cell>
          <cell r="C13" t="str">
            <v>นายพีรพล แสนสิม</v>
          </cell>
          <cell r="D13" t="str">
            <v>MR. PHIRAPHON SAENSIM</v>
          </cell>
          <cell r="E13" t="str">
            <v>Male</v>
          </cell>
          <cell r="F13">
            <v>44592</v>
          </cell>
          <cell r="G13">
            <v>44652</v>
          </cell>
          <cell r="H13">
            <v>44682</v>
          </cell>
          <cell r="I13">
            <v>44711</v>
          </cell>
          <cell r="J13" t="str">
            <v>4 ปี 3 เดือน 24 วัน</v>
          </cell>
          <cell r="K13" t="str">
            <v>ประกอบ</v>
          </cell>
          <cell r="L13" t="str">
            <v>组装班长H1
หัวหน้างานประกอบH1</v>
          </cell>
          <cell r="M13" t="str">
            <v>Assembly</v>
          </cell>
          <cell r="N13">
            <v>36751</v>
          </cell>
          <cell r="O13">
            <v>25</v>
          </cell>
          <cell r="P13" t="str">
            <v>061-484-0189</v>
          </cell>
          <cell r="Q13" t="str">
            <v>1-4613-01220-02-1</v>
          </cell>
          <cell r="R13" t="str">
            <v>ไทย</v>
          </cell>
          <cell r="S13" t="str">
            <v>泰国</v>
          </cell>
          <cell r="T13" t="str">
            <v>ปวส.</v>
          </cell>
          <cell r="U13" t="str">
            <v>23 หมู่ที่3 ต.สายนาวัง อ.นาคู จ.กาฬสินธุ์</v>
          </cell>
          <cell r="V13" t="str">
            <v>สิวารมณ์ซิตี้ ซ.21 อ.นิคมพัฒนา จ.ระยอง</v>
          </cell>
          <cell r="W13" t="str">
            <v>รายเดือน</v>
          </cell>
          <cell r="X13" t="str">
            <v>在职</v>
          </cell>
        </row>
        <row r="14">
          <cell r="B14">
            <v>65014</v>
          </cell>
          <cell r="C14" t="str">
            <v>นางสาวอารีย์ แซ่ม้า</v>
          </cell>
          <cell r="D14" t="str">
            <v>MISS AREE SAEMA</v>
          </cell>
          <cell r="E14" t="str">
            <v>Female</v>
          </cell>
          <cell r="F14">
            <v>44655</v>
          </cell>
          <cell r="G14">
            <v>44715</v>
          </cell>
          <cell r="H14">
            <v>44745</v>
          </cell>
          <cell r="I14">
            <v>44774</v>
          </cell>
          <cell r="J14" t="str">
            <v>4 ปี 1 เดือน 21 วัน</v>
          </cell>
          <cell r="K14" t="str">
            <v>คลังสินค้า</v>
          </cell>
          <cell r="L14" t="str">
            <v>仓库管理员
เจ้าหน้าที่คลังสินค้าและบรรจุผลิตภัฑณ์</v>
          </cell>
          <cell r="M14" t="str">
            <v>Warehouse</v>
          </cell>
          <cell r="N14">
            <v>36941</v>
          </cell>
          <cell r="O14">
            <v>25</v>
          </cell>
          <cell r="P14" t="str">
            <v>061-376-3882</v>
          </cell>
          <cell r="Q14" t="str">
            <v>1-6398-00269-42-1</v>
          </cell>
          <cell r="R14" t="str">
            <v>ไทย</v>
          </cell>
          <cell r="S14" t="str">
            <v>泰国</v>
          </cell>
          <cell r="T14" t="str">
            <v>ปวช.</v>
          </cell>
          <cell r="U14" t="str">
            <v>256 หมู่ที่7 ต.มหาวัน อ.แม่สอด จ.ตาก</v>
          </cell>
          <cell r="V14" t="str">
            <v>299 หมู่ที่5 ต.มะขามคู่ อ.นิคมพัฒนา จ.ระยอง 21180</v>
          </cell>
          <cell r="W14" t="str">
            <v>รายเดือน</v>
          </cell>
          <cell r="X14" t="str">
            <v>在职</v>
          </cell>
        </row>
        <row r="15">
          <cell r="B15">
            <v>65024</v>
          </cell>
          <cell r="C15" t="str">
            <v>นางสาวธิดา จะลา</v>
          </cell>
          <cell r="D15" t="str">
            <v>MISS THIDA CHALA</v>
          </cell>
          <cell r="E15" t="str">
            <v>Female</v>
          </cell>
          <cell r="F15">
            <v>44686</v>
          </cell>
          <cell r="G15">
            <v>44746</v>
          </cell>
          <cell r="H15">
            <v>44776</v>
          </cell>
          <cell r="I15">
            <v>44805</v>
          </cell>
          <cell r="J15" t="str">
            <v>4 ปี 0 เดือน 20 วัน</v>
          </cell>
          <cell r="K15" t="str">
            <v>ประกอบ</v>
          </cell>
          <cell r="L15" t="str">
            <v>组装H9
เจ้าหน้าที่ประกอบH9</v>
          </cell>
          <cell r="M15" t="str">
            <v>Assembly</v>
          </cell>
          <cell r="N15">
            <v>36827</v>
          </cell>
          <cell r="O15">
            <v>25</v>
          </cell>
          <cell r="P15" t="str">
            <v>062-250-1105</v>
          </cell>
          <cell r="Q15" t="str">
            <v>8-5803-84001-04-2</v>
          </cell>
          <cell r="R15" t="str">
            <v>ไทย</v>
          </cell>
          <cell r="S15" t="str">
            <v>泰国</v>
          </cell>
          <cell r="T15" t="str">
            <v>ม.6</v>
          </cell>
          <cell r="U15" t="str">
            <v>327 หมู่ที่12 ต.วาวี อ.แม่สรวย จ.เชียงราย</v>
          </cell>
          <cell r="V15" t="str">
            <v>495 หมู่ที่4 ต.พนานิคม อ.นิคมพัฒนา จ.ระยอง</v>
          </cell>
          <cell r="W15" t="str">
            <v>รายเดือน</v>
          </cell>
          <cell r="X15" t="str">
            <v>在职</v>
          </cell>
        </row>
        <row r="16">
          <cell r="B16">
            <v>65025</v>
          </cell>
          <cell r="C16" t="str">
            <v>นายทรงพล ศิริจันทร์</v>
          </cell>
          <cell r="D16" t="str">
            <v>MR. SONGPHON SIRICHAN</v>
          </cell>
          <cell r="E16" t="str">
            <v>Male</v>
          </cell>
          <cell r="F16">
            <v>44690</v>
          </cell>
          <cell r="G16">
            <v>44750</v>
          </cell>
          <cell r="H16">
            <v>44780</v>
          </cell>
          <cell r="I16">
            <v>44809</v>
          </cell>
          <cell r="J16" t="str">
            <v>4 ปี 0 เดือน 16 วัน</v>
          </cell>
          <cell r="K16" t="str">
            <v>Stamping</v>
          </cell>
          <cell r="L16" t="str">
            <v>冲压操作工110T
เจ้าหน้าที่ปั๊มงาน110ตัน</v>
          </cell>
          <cell r="M16" t="str">
            <v>Stamping</v>
          </cell>
          <cell r="N16">
            <v>35576</v>
          </cell>
          <cell r="O16">
            <v>28</v>
          </cell>
          <cell r="P16" t="str">
            <v>098-587-6596</v>
          </cell>
          <cell r="Q16" t="str">
            <v>1-3310-00274-09-3</v>
          </cell>
          <cell r="R16" t="str">
            <v>ไทย</v>
          </cell>
          <cell r="S16" t="str">
            <v>泰国</v>
          </cell>
          <cell r="T16" t="str">
            <v>ม.6</v>
          </cell>
          <cell r="U16" t="str">
            <v>15 หมู่ที่8 ต.ก้านเหลือง อ.อุทุมพรพิสัย จ.ศรีสะเกษ</v>
          </cell>
          <cell r="V16" t="str">
            <v>172/175 ม.6 ต.มาบยางพร อ.ปลวกแดง จ.ระยอง</v>
          </cell>
          <cell r="W16" t="str">
            <v>รายเดือน</v>
          </cell>
          <cell r="X16" t="str">
            <v>在职</v>
          </cell>
        </row>
        <row r="17">
          <cell r="B17">
            <v>65027</v>
          </cell>
          <cell r="C17" t="str">
            <v>นางสาวสุภาพร ปิ่นทอง</v>
          </cell>
          <cell r="D17" t="str">
            <v>MISS SUPAPORN PINTONG</v>
          </cell>
          <cell r="E17" t="str">
            <v>Female</v>
          </cell>
          <cell r="F17">
            <v>44718</v>
          </cell>
          <cell r="G17">
            <v>44778</v>
          </cell>
          <cell r="H17">
            <v>44808</v>
          </cell>
          <cell r="I17">
            <v>44837</v>
          </cell>
          <cell r="J17" t="str">
            <v>3 ปี 11 เดือน 19 วัน</v>
          </cell>
          <cell r="K17" t="str">
            <v>ตรวจสอบคุณภาพ</v>
          </cell>
          <cell r="L17" t="str">
            <v>检验员QC
เจ้าหน้าที่ QC</v>
          </cell>
          <cell r="M17" t="str">
            <v>Quality</v>
          </cell>
          <cell r="N17">
            <v>34941</v>
          </cell>
          <cell r="O17">
            <v>30</v>
          </cell>
          <cell r="P17" t="str">
            <v>084-284-2329</v>
          </cell>
          <cell r="Q17" t="str">
            <v>1-2499-00378-57-8</v>
          </cell>
          <cell r="R17" t="str">
            <v>ไทย</v>
          </cell>
          <cell r="S17" t="str">
            <v>泰国</v>
          </cell>
          <cell r="T17" t="str">
            <v>ม.6</v>
          </cell>
          <cell r="U17" t="str">
            <v>121/1 หมู่ที่ 5 ต.มะขามคู่ อ.นิคมพัฒนา  จ.ระยอง</v>
          </cell>
          <cell r="V17" t="str">
            <v>153/5 ม.1 ต.มะขามคู่ อ.นิคมพัฒนา  จ.ระยอง</v>
          </cell>
          <cell r="W17" t="str">
            <v>รายเดือน</v>
          </cell>
          <cell r="X17" t="str">
            <v>在职</v>
          </cell>
        </row>
        <row r="18">
          <cell r="B18">
            <v>65033</v>
          </cell>
          <cell r="C18" t="str">
            <v>นางสาวลักษมณ มหาโชติ</v>
          </cell>
          <cell r="D18" t="str">
            <v>MISS LAGSAMON MAHACHOTI</v>
          </cell>
          <cell r="E18" t="str">
            <v>Female</v>
          </cell>
          <cell r="F18">
            <v>44781</v>
          </cell>
          <cell r="G18">
            <v>44841</v>
          </cell>
          <cell r="H18">
            <v>44871</v>
          </cell>
          <cell r="I18">
            <v>44900</v>
          </cell>
          <cell r="J18" t="str">
            <v>3 ปี 9 เดือน 17 วัน</v>
          </cell>
          <cell r="K18" t="str">
            <v>ตรวจสอบคุณภาพ</v>
          </cell>
          <cell r="L18" t="str">
            <v>检验员QC
เจ้าหน้าที่ QC</v>
          </cell>
          <cell r="M18" t="str">
            <v>Quality</v>
          </cell>
          <cell r="N18">
            <v>33639</v>
          </cell>
          <cell r="O18">
            <v>34</v>
          </cell>
          <cell r="P18" t="str">
            <v>092-704-2110</v>
          </cell>
          <cell r="Q18" t="str">
            <v>1-4009-00173-35-6</v>
          </cell>
          <cell r="R18" t="str">
            <v>ไทย</v>
          </cell>
          <cell r="S18" t="str">
            <v>泰国</v>
          </cell>
          <cell r="T18" t="str">
            <v>ม.6</v>
          </cell>
          <cell r="U18" t="str">
            <v>2 หมู่ที่ 8 ต.กุดปลาดุก อ.ชื่นชม จ.มหาสารคาม</v>
          </cell>
          <cell r="V18" t="str">
            <v>159 ม.6 ต.มาบยางพร อ.ปลวกแดง จ.ระยอง</v>
          </cell>
          <cell r="W18" t="str">
            <v>รายเดือน</v>
          </cell>
          <cell r="X18" t="str">
            <v>在职</v>
          </cell>
        </row>
        <row r="19">
          <cell r="B19">
            <v>65035</v>
          </cell>
          <cell r="C19" t="str">
            <v>นางสาวนิตยา จักโนวัน</v>
          </cell>
          <cell r="D19" t="str">
            <v>MISS NITAYA JAKNOWAN</v>
          </cell>
          <cell r="E19" t="str">
            <v>Female</v>
          </cell>
          <cell r="F19">
            <v>44791</v>
          </cell>
          <cell r="G19">
            <v>44851</v>
          </cell>
          <cell r="H19">
            <v>44881</v>
          </cell>
          <cell r="I19">
            <v>44910</v>
          </cell>
          <cell r="J19" t="str">
            <v>3 ปี 9 เดือน 7 วัน</v>
          </cell>
          <cell r="K19" t="str">
            <v>ประกอบ</v>
          </cell>
          <cell r="L19" t="str">
            <v>组装H9
เจ้าหน้าที่ประกอบH9</v>
          </cell>
          <cell r="M19" t="str">
            <v>Assembly</v>
          </cell>
          <cell r="N19">
            <v>37850</v>
          </cell>
          <cell r="O19">
            <v>22</v>
          </cell>
          <cell r="P19" t="str">
            <v>099-467-3281</v>
          </cell>
          <cell r="Q19" t="str">
            <v>1-4077-00020-08-1</v>
          </cell>
          <cell r="R19" t="str">
            <v>ไทย</v>
          </cell>
          <cell r="S19" t="str">
            <v>泰国</v>
          </cell>
          <cell r="T19" t="str">
            <v>ม.6</v>
          </cell>
          <cell r="U19" t="str">
            <v>32 หมู่ที่10 ต.กุดธาตุ อ.หนองนาคำ จ.ขอนแก่น</v>
          </cell>
          <cell r="V19" t="str">
            <v>8/115 ม.2 ต.พนานิคม อ.นิคมพัฒนา จ.ระยอง</v>
          </cell>
          <cell r="W19" t="str">
            <v>รายเดือน</v>
          </cell>
          <cell r="X19" t="str">
            <v>在职</v>
          </cell>
        </row>
        <row r="20">
          <cell r="B20">
            <v>66005</v>
          </cell>
          <cell r="C20" t="str">
            <v>นายไพวัลย์ รังสุวรรณ์</v>
          </cell>
          <cell r="D20" t="str">
            <v>MR. PAIWAN RANGSUWAN</v>
          </cell>
          <cell r="E20" t="str">
            <v>Male</v>
          </cell>
          <cell r="F20">
            <v>44951</v>
          </cell>
          <cell r="G20">
            <v>45011</v>
          </cell>
          <cell r="H20">
            <v>45041</v>
          </cell>
          <cell r="I20">
            <v>45070</v>
          </cell>
          <cell r="J20" t="str">
            <v>3 ปี 4 เดือน 0 วัน</v>
          </cell>
          <cell r="K20" t="str">
            <v>พ่นสี</v>
          </cell>
          <cell r="L20" t="str">
            <v>เจ้าหน้าที่พ่นสี     喷涂</v>
          </cell>
          <cell r="M20" t="str">
            <v>Coating</v>
          </cell>
          <cell r="N20">
            <v>34602</v>
          </cell>
          <cell r="O20">
            <v>31</v>
          </cell>
          <cell r="P20" t="str">
            <v>064-683-3915</v>
          </cell>
          <cell r="Q20" t="str">
            <v>1-3102-00111-25-1</v>
          </cell>
          <cell r="R20" t="str">
            <v>ไทย</v>
          </cell>
          <cell r="S20" t="str">
            <v>泰国</v>
          </cell>
          <cell r="T20" t="str">
            <v>ม.3</v>
          </cell>
          <cell r="U20" t="str">
            <v>162 หมู่ที่5 ต.ตูมใหญ่ อ.คูเมือง จ.บุรีรัมย์</v>
          </cell>
          <cell r="V20" t="str">
            <v>176 หมู่ที่3 ต.มาบยางพร อ.ปลวกแดง จ.ระยอง</v>
          </cell>
          <cell r="W20" t="str">
            <v>รายเดือน</v>
          </cell>
          <cell r="X20" t="str">
            <v>在职</v>
          </cell>
        </row>
        <row r="21">
          <cell r="B21">
            <v>66016</v>
          </cell>
          <cell r="C21" t="str">
            <v>นายกิตติธัช หม่อมสละ</v>
          </cell>
          <cell r="D21" t="str">
            <v>MR. KITTIHAT MOMSALA</v>
          </cell>
          <cell r="E21" t="str">
            <v>Male</v>
          </cell>
          <cell r="F21">
            <v>45009</v>
          </cell>
          <cell r="G21">
            <v>45069</v>
          </cell>
          <cell r="H21">
            <v>45099</v>
          </cell>
          <cell r="I21">
            <v>45128</v>
          </cell>
          <cell r="J21" t="str">
            <v>3 ปี 2 เดือน 1 วัน</v>
          </cell>
          <cell r="K21" t="str">
            <v>Bending</v>
          </cell>
          <cell r="L21" t="str">
            <v>折弯机组长
Leader ควบคุมเครื่องBending</v>
          </cell>
          <cell r="M21" t="str">
            <v>Bending</v>
          </cell>
          <cell r="N21">
            <v>35503</v>
          </cell>
          <cell r="O21">
            <v>29</v>
          </cell>
          <cell r="P21" t="str">
            <v>098-732-2432</v>
          </cell>
          <cell r="Q21" t="str">
            <v>2-3407-00040-22-0</v>
          </cell>
          <cell r="R21" t="str">
            <v>ไทย</v>
          </cell>
          <cell r="S21" t="str">
            <v>泰国</v>
          </cell>
          <cell r="T21" t="str">
            <v>ม.6</v>
          </cell>
          <cell r="U21" t="str">
            <v>97 หมู่ที่1 ต.นากระแซง อ.เดชอุดม จ.อุบลราชธานี</v>
          </cell>
          <cell r="V21" t="str">
            <v>413/11 ซ.เทศบาล1 ต.ปลวกแดง อ.ปลวกแดง จ.ระยอง</v>
          </cell>
          <cell r="W21" t="str">
            <v>รายเดือน</v>
          </cell>
          <cell r="X21" t="str">
            <v>在职</v>
          </cell>
        </row>
        <row r="22">
          <cell r="B22">
            <v>66029</v>
          </cell>
          <cell r="C22" t="str">
            <v>นายฐานันดร โททำ</v>
          </cell>
          <cell r="D22" t="str">
            <v>MR.THANANDORN THOTHAM</v>
          </cell>
          <cell r="E22" t="str">
            <v>Male</v>
          </cell>
          <cell r="F22">
            <v>45037</v>
          </cell>
          <cell r="G22">
            <v>45097</v>
          </cell>
          <cell r="H22">
            <v>45127</v>
          </cell>
          <cell r="I22">
            <v>45156</v>
          </cell>
          <cell r="J22" t="str">
            <v>3 ปี 1 เดือน 4 วัน</v>
          </cell>
          <cell r="K22" t="str">
            <v>ซ่อมบำรุง</v>
          </cell>
          <cell r="L22" t="str">
            <v>维修摸具
ช่างซ่อมแม่พิมพ์</v>
          </cell>
          <cell r="M22" t="str">
            <v>Equipment</v>
          </cell>
          <cell r="N22">
            <v>36110</v>
          </cell>
          <cell r="O22">
            <v>27</v>
          </cell>
          <cell r="P22" t="str">
            <v>093-086-8852</v>
          </cell>
          <cell r="Q22" t="str">
            <v>1-4403-00219-42-8</v>
          </cell>
          <cell r="R22" t="str">
            <v>ไทย</v>
          </cell>
          <cell r="S22" t="str">
            <v>泰国</v>
          </cell>
          <cell r="T22" t="str">
            <v>ปวส.</v>
          </cell>
          <cell r="U22" t="str">
            <v>186 หมู่ที่3 ต.ดอนกลาง อ.โกสุมพิสัย จ.มหาสารคาม</v>
          </cell>
          <cell r="V22" t="str">
            <v>234/52 เทพประทานพร9 ต.บ่อวิน อ.ศรีราชา จ.ชลบุรี</v>
          </cell>
          <cell r="W22" t="str">
            <v>รายเดือน</v>
          </cell>
          <cell r="X22" t="str">
            <v>在职</v>
          </cell>
        </row>
        <row r="23">
          <cell r="B23">
            <v>66038</v>
          </cell>
          <cell r="C23" t="str">
            <v>นางสาวฝนทิพย์ ทัพอินทร์</v>
          </cell>
          <cell r="D23" t="str">
            <v>MISS PHONTIP TUPIN</v>
          </cell>
          <cell r="E23" t="str">
            <v>Female</v>
          </cell>
          <cell r="F23">
            <v>45092</v>
          </cell>
          <cell r="G23">
            <v>45152</v>
          </cell>
          <cell r="H23">
            <v>45182</v>
          </cell>
          <cell r="I23">
            <v>45211</v>
          </cell>
          <cell r="J23" t="str">
            <v>2 ปี 11 เดือน 10 วัน</v>
          </cell>
          <cell r="K23" t="str">
            <v>บัญชี</v>
          </cell>
          <cell r="L23" t="str">
            <v>财务主管
หัวหน้าฝ่ายบัญชี</v>
          </cell>
          <cell r="M23" t="str">
            <v>Finance</v>
          </cell>
          <cell r="N23">
            <v>30286</v>
          </cell>
          <cell r="O23">
            <v>43</v>
          </cell>
          <cell r="P23" t="str">
            <v>064-237-1555</v>
          </cell>
          <cell r="Q23" t="str">
            <v>3-2007-00528-95-7</v>
          </cell>
          <cell r="R23" t="str">
            <v>ไทย</v>
          </cell>
          <cell r="S23" t="str">
            <v>泰国</v>
          </cell>
          <cell r="T23" t="str">
            <v>ปริญญาตรี</v>
          </cell>
          <cell r="U23" t="str">
            <v>227/2 หมู่ที่4 ต.บ่อวิน อ.ศรีราชา จ.ชลบุรี 20230</v>
          </cell>
          <cell r="V23" t="str">
            <v>227/2 หมู่ที่4 ต.บ่อวิน อ.ศรีราชา จ.ชลบุรี 20230</v>
          </cell>
          <cell r="W23" t="str">
            <v>รายเดือน</v>
          </cell>
          <cell r="X23" t="str">
            <v>在职</v>
          </cell>
        </row>
        <row r="24">
          <cell r="B24">
            <v>66043</v>
          </cell>
          <cell r="C24" t="str">
            <v>นางสาวพัชดา เรืองไชย</v>
          </cell>
          <cell r="D24" t="str">
            <v>MISS PHATCHADA RUEANGCHAI</v>
          </cell>
          <cell r="E24" t="str">
            <v>Female</v>
          </cell>
          <cell r="F24">
            <v>45121</v>
          </cell>
          <cell r="G24">
            <v>45181</v>
          </cell>
          <cell r="H24">
            <v>45211</v>
          </cell>
          <cell r="I24">
            <v>45240</v>
          </cell>
          <cell r="J24" t="str">
            <v>2 ปี 10 เดือน 11 วัน</v>
          </cell>
          <cell r="K24" t="str">
            <v>ตรวจสอบคุณภาพ</v>
          </cell>
          <cell r="L24" t="str">
            <v>检验员QC
เจ้าหน้าที่ QC</v>
          </cell>
          <cell r="M24" t="str">
            <v>Quality</v>
          </cell>
          <cell r="N24">
            <v>35586</v>
          </cell>
          <cell r="O24">
            <v>28</v>
          </cell>
          <cell r="P24" t="str">
            <v>092-949-6697</v>
          </cell>
          <cell r="Q24" t="str">
            <v>1-4099-01554-25-4</v>
          </cell>
          <cell r="R24" t="str">
            <v>ไทย</v>
          </cell>
          <cell r="S24" t="str">
            <v>泰国</v>
          </cell>
          <cell r="T24" t="str">
            <v>ปวส.</v>
          </cell>
          <cell r="U24" t="str">
            <v>84/2 หมู่12 ต.สงเปลือย อ.เขาวง จ.กาฬสินธุ์</v>
          </cell>
          <cell r="V24" t="str">
            <v>888/282 ม.3 ต.บ่อวิน อ.ศรีราชา จ.ชลบุรี 20230</v>
          </cell>
          <cell r="W24" t="str">
            <v>รายเดือน</v>
          </cell>
          <cell r="X24" t="str">
            <v>在职</v>
          </cell>
        </row>
        <row r="25">
          <cell r="B25">
            <v>66044</v>
          </cell>
          <cell r="C25" t="str">
            <v>นางสาวอรทัย วงษาชัย</v>
          </cell>
          <cell r="D25" t="str">
            <v>MISS ORATAI WONGSACHAI</v>
          </cell>
          <cell r="E25" t="str">
            <v>Female</v>
          </cell>
          <cell r="F25">
            <v>45121</v>
          </cell>
          <cell r="G25">
            <v>45181</v>
          </cell>
          <cell r="H25">
            <v>45211</v>
          </cell>
          <cell r="I25">
            <v>45240</v>
          </cell>
          <cell r="J25" t="str">
            <v>2 ปี 10 เดือน 11 วัน</v>
          </cell>
          <cell r="K25" t="str">
            <v>คลังสินค้า</v>
          </cell>
          <cell r="L25" t="str">
            <v>仓库管理员
เจ้าหน้าที่คลังสินค้า</v>
          </cell>
          <cell r="M25" t="str">
            <v>Warehouse</v>
          </cell>
          <cell r="N25">
            <v>34252</v>
          </cell>
          <cell r="O25">
            <v>32</v>
          </cell>
          <cell r="P25" t="str">
            <v>095-386-0847</v>
          </cell>
          <cell r="Q25" t="str">
            <v>1-2207-00030-40-5</v>
          </cell>
          <cell r="R25" t="str">
            <v>ไทย</v>
          </cell>
          <cell r="S25" t="str">
            <v>泰国</v>
          </cell>
          <cell r="T25" t="str">
            <v>ปวส.</v>
          </cell>
          <cell r="U25" t="str">
            <v>13/3 หมู่2 ต.ทุ่งขนาน อ.สอยดาว จ.จันทบุรี</v>
          </cell>
          <cell r="V25" t="str">
            <v>347/7 ม.7 ต.บ่อวิน อ.ศรีราชา จ.ชลบุรี</v>
          </cell>
          <cell r="W25" t="str">
            <v>รายเดือน</v>
          </cell>
          <cell r="X25" t="str">
            <v>在职</v>
          </cell>
          <cell r="Y25" t="str">
            <v>แจ้งเข้าประกันสังคมแล้ว</v>
          </cell>
        </row>
        <row r="26">
          <cell r="B26">
            <v>66047</v>
          </cell>
          <cell r="C26" t="str">
            <v>นายประชัน เมืองคง</v>
          </cell>
          <cell r="D26" t="str">
            <v>MR. PRACHAN MUEANGKHONG</v>
          </cell>
          <cell r="E26" t="str">
            <v>Male</v>
          </cell>
          <cell r="F26">
            <v>45121</v>
          </cell>
          <cell r="G26">
            <v>45181</v>
          </cell>
          <cell r="H26">
            <v>45211</v>
          </cell>
          <cell r="I26">
            <v>45240</v>
          </cell>
          <cell r="J26" t="str">
            <v>2 ปี 10 เดือน 11 วัน</v>
          </cell>
          <cell r="K26" t="str">
            <v>หลอมอลูมิเนียม</v>
          </cell>
          <cell r="L26" t="str">
            <v>压铸厂
Leader ฝ่ายหลอมอลูมิเนียม</v>
          </cell>
          <cell r="M26" t="str">
            <v>Die Casting</v>
          </cell>
          <cell r="N26">
            <v>35460</v>
          </cell>
          <cell r="O26">
            <v>29</v>
          </cell>
          <cell r="P26" t="str">
            <v>082-706-2699</v>
          </cell>
          <cell r="Q26" t="str">
            <v>1-3505-00086-31-7</v>
          </cell>
          <cell r="R26" t="str">
            <v>ไทย</v>
          </cell>
          <cell r="S26" t="str">
            <v>泰国</v>
          </cell>
          <cell r="T26" t="str">
            <v>ป.6</v>
          </cell>
          <cell r="U26" t="str">
            <v>92 หมู่7 ต.โคกนาโฏ อ.ป่าติว จ.ยโสธร</v>
          </cell>
          <cell r="V26" t="str">
            <v>620 หมู่4 ต.พนานิคม อ.นิคมพัฒนา จ.ระยอง</v>
          </cell>
          <cell r="W26" t="str">
            <v>รายเดือน</v>
          </cell>
          <cell r="X26" t="str">
            <v>在职</v>
          </cell>
          <cell r="Y26" t="str">
            <v>แจ้งเข้าประกันสังคมแล้ว</v>
          </cell>
        </row>
        <row r="27">
          <cell r="B27">
            <v>66051</v>
          </cell>
          <cell r="C27" t="str">
            <v>นางสาวกวิสรา สุภาพันธ์</v>
          </cell>
          <cell r="D27" t="str">
            <v>MISS KAWISARA SUPAPAN</v>
          </cell>
          <cell r="E27" t="str">
            <v>Female</v>
          </cell>
          <cell r="F27">
            <v>45124</v>
          </cell>
          <cell r="G27">
            <v>45184</v>
          </cell>
          <cell r="H27">
            <v>45214</v>
          </cell>
          <cell r="I27">
            <v>45243</v>
          </cell>
          <cell r="J27" t="str">
            <v>2 ปี 10 เดือน 8 วัน</v>
          </cell>
          <cell r="K27" t="str">
            <v>Production</v>
          </cell>
          <cell r="L27" t="str">
            <v>行政
ฝ่ายธุรการ</v>
          </cell>
          <cell r="M27" t="str">
            <v>Production</v>
          </cell>
          <cell r="N27">
            <v>35943</v>
          </cell>
          <cell r="O27">
            <v>27</v>
          </cell>
          <cell r="P27" t="str">
            <v>062-170-8165</v>
          </cell>
          <cell r="Q27" t="str">
            <v>1-4-015-00149-12-8</v>
          </cell>
          <cell r="R27" t="str">
            <v>ไทย</v>
          </cell>
          <cell r="S27" t="str">
            <v>泰国</v>
          </cell>
          <cell r="T27" t="str">
            <v>ปริญญาตรี</v>
          </cell>
          <cell r="U27" t="str">
            <v>42 หมู่9 ต.หนองไผ่ล้อม อ.หนองสองห้อง จ.ขอนแก่น</v>
          </cell>
          <cell r="V27" t="str">
            <v>333/16 หมู่4 ต.มาบยางพร อ.ปลวกแดง จ.ระยอง</v>
          </cell>
          <cell r="W27" t="str">
            <v>รายเดือน</v>
          </cell>
          <cell r="X27" t="str">
            <v>在职</v>
          </cell>
          <cell r="Y27" t="str">
            <v>แจ้งเข้าประกันสังคมแล้ว</v>
          </cell>
        </row>
        <row r="28">
          <cell r="B28">
            <v>66054</v>
          </cell>
          <cell r="C28" t="str">
            <v>นางสาวสุวนันท์ ธงชัย</v>
          </cell>
          <cell r="D28" t="str">
            <v>MISS SUWANAN THONGCHAI</v>
          </cell>
          <cell r="E28" t="str">
            <v>Female</v>
          </cell>
          <cell r="F28">
            <v>45132</v>
          </cell>
          <cell r="G28">
            <v>45192</v>
          </cell>
          <cell r="H28">
            <v>45222</v>
          </cell>
          <cell r="I28">
            <v>45251</v>
          </cell>
          <cell r="J28" t="str">
            <v>2 ปี 10 เดือน 0 วัน</v>
          </cell>
          <cell r="K28" t="str">
            <v>คลังสินค้า</v>
          </cell>
          <cell r="L28" t="str">
            <v>分选组长Leaderฝ่ายคัดงาน</v>
          </cell>
          <cell r="M28" t="str">
            <v>Warehouse</v>
          </cell>
          <cell r="N28">
            <v>35704</v>
          </cell>
          <cell r="O28">
            <v>28</v>
          </cell>
          <cell r="P28" t="str">
            <v>062-552-1869</v>
          </cell>
          <cell r="Q28" t="str">
            <v>1-4805-00215-82-5</v>
          </cell>
          <cell r="R28" t="str">
            <v>ไทย</v>
          </cell>
          <cell r="S28" t="str">
            <v>泰国</v>
          </cell>
          <cell r="T28" t="str">
            <v>ม.3</v>
          </cell>
          <cell r="U28" t="str">
            <v>25 หมู่5 ต.โพนแพง อ.ธาตุพนม จ.นครพนม</v>
          </cell>
          <cell r="V28" t="str">
            <v>179/136 ม.3 ต.มาบยางพร อ.ปลลวกแดง จ.ระยอง</v>
          </cell>
          <cell r="W28" t="str">
            <v>รายเดือน</v>
          </cell>
          <cell r="X28" t="str">
            <v>在职</v>
          </cell>
        </row>
        <row r="29">
          <cell r="B29">
            <v>66055</v>
          </cell>
          <cell r="C29" t="str">
            <v>นางสาวภารดี ชาภูธร</v>
          </cell>
          <cell r="D29" t="str">
            <v>MISS PARADEE CHAPHUTHON</v>
          </cell>
          <cell r="E29" t="str">
            <v>Female</v>
          </cell>
          <cell r="F29">
            <v>45138</v>
          </cell>
          <cell r="G29">
            <v>45198</v>
          </cell>
          <cell r="H29">
            <v>45228</v>
          </cell>
          <cell r="I29">
            <v>45257</v>
          </cell>
          <cell r="J29" t="str">
            <v>2 ปี 9 เดือน 24 วัน</v>
          </cell>
          <cell r="K29" t="str">
            <v>ประกอบ</v>
          </cell>
          <cell r="L29" t="str">
            <v>组装H9
เจ้าหน้าที่ประกอบH9</v>
          </cell>
          <cell r="M29" t="str">
            <v>Assembly</v>
          </cell>
          <cell r="N29">
            <v>35167</v>
          </cell>
          <cell r="O29">
            <v>30</v>
          </cell>
          <cell r="P29" t="str">
            <v>092-457-4814</v>
          </cell>
          <cell r="Q29" t="str">
            <v>1-3209-00252-28-1</v>
          </cell>
          <cell r="R29" t="str">
            <v>ไทย</v>
          </cell>
          <cell r="S29" t="str">
            <v>泰国</v>
          </cell>
          <cell r="T29" t="str">
            <v>ม.6</v>
          </cell>
          <cell r="U29" t="str">
            <v>4/2 หมู่1 ต.ผักไหม อ.ศชรภูมิ จ.สุรินทร์</v>
          </cell>
          <cell r="V29" t="str">
            <v>88/79 หมู่4 ต.มาบยางพร อ.ปลวกแดง จ.ระยอง</v>
          </cell>
          <cell r="W29" t="str">
            <v>รายเดือน</v>
          </cell>
          <cell r="X29" t="str">
            <v>在职</v>
          </cell>
        </row>
        <row r="30">
          <cell r="B30">
            <v>66056</v>
          </cell>
          <cell r="C30" t="str">
            <v>นางสาวสุกัญญา ปัตฐารัมย์</v>
          </cell>
          <cell r="D30" t="str">
            <v>MISS SUKANYA PATTHARAM</v>
          </cell>
          <cell r="E30" t="str">
            <v>Female</v>
          </cell>
          <cell r="F30">
            <v>45138</v>
          </cell>
          <cell r="G30">
            <v>45198</v>
          </cell>
          <cell r="H30">
            <v>45228</v>
          </cell>
          <cell r="I30">
            <v>45257</v>
          </cell>
          <cell r="J30" t="str">
            <v>2 ปี 9 เดือน 24 วัน</v>
          </cell>
          <cell r="K30" t="str">
            <v>ประกอบ</v>
          </cell>
          <cell r="L30" t="str">
            <v>套扣操作工
เจ้าหน้าที่ต๊าปเกลียว</v>
          </cell>
          <cell r="M30" t="str">
            <v>Taping</v>
          </cell>
          <cell r="N30">
            <v>34888</v>
          </cell>
          <cell r="O30">
            <v>30</v>
          </cell>
          <cell r="P30" t="str">
            <v>097-116-8601</v>
          </cell>
          <cell r="Q30" t="str">
            <v>1-5009-00198-25-1</v>
          </cell>
          <cell r="R30" t="str">
            <v>ไทย</v>
          </cell>
          <cell r="S30" t="str">
            <v>泰国</v>
          </cell>
          <cell r="T30" t="str">
            <v>ม.6</v>
          </cell>
          <cell r="U30" t="str">
            <v>98 หมู่6 ต.ช่องแมว อ.ลำทะเมนชัย จ.นครราชสีมา</v>
          </cell>
          <cell r="V30" t="str">
            <v>235/2 ซ.14 ต.มะขามคู่ อ.นิคมพัฒนา จ.ระยอง</v>
          </cell>
          <cell r="W30" t="str">
            <v>รายเดือน</v>
          </cell>
          <cell r="X30" t="str">
            <v>在职</v>
          </cell>
        </row>
        <row r="31">
          <cell r="B31">
            <v>66059</v>
          </cell>
          <cell r="C31" t="str">
            <v>นางสาวเพ็ญสิริ สิงห์ทอง</v>
          </cell>
          <cell r="D31" t="str">
            <v>MISS PENSIRI  SINGTONG</v>
          </cell>
          <cell r="E31" t="str">
            <v>Female</v>
          </cell>
          <cell r="F31">
            <v>45138</v>
          </cell>
          <cell r="G31">
            <v>45198</v>
          </cell>
          <cell r="H31">
            <v>45228</v>
          </cell>
          <cell r="I31">
            <v>45257</v>
          </cell>
          <cell r="J31" t="str">
            <v>2 ปี 9 เดือน 24 วัน</v>
          </cell>
          <cell r="K31" t="str">
            <v>ประกอบ</v>
          </cell>
          <cell r="L31" t="str">
            <v>套螺帽
เจ้าหน้าที่Cut chamber</v>
          </cell>
          <cell r="M31" t="str">
            <v>Assembly machine</v>
          </cell>
          <cell r="N31">
            <v>36710</v>
          </cell>
          <cell r="O31">
            <v>25</v>
          </cell>
          <cell r="P31" t="str">
            <v>062-573-7205</v>
          </cell>
          <cell r="Q31" t="str">
            <v>1-3210-01439-40-1</v>
          </cell>
          <cell r="R31" t="str">
            <v>ไทย</v>
          </cell>
          <cell r="S31" t="str">
            <v>泰国</v>
          </cell>
          <cell r="U31" t="str">
            <v>39/1 หมู่ที่3 ต.ขอนแตก อ.สังขะ จ.สุรินทร์</v>
          </cell>
          <cell r="V31" t="str">
            <v>75/81 หมู่ที่2 ต.มะขามคู่ อ.นิครพัฒนา จ.ระยอง</v>
          </cell>
          <cell r="W31" t="str">
            <v>รายเดือน</v>
          </cell>
          <cell r="X31" t="str">
            <v>在职</v>
          </cell>
        </row>
        <row r="32">
          <cell r="B32">
            <v>66060</v>
          </cell>
          <cell r="C32" t="str">
            <v>นายผดุงศักดิ์ จันสีลา</v>
          </cell>
          <cell r="D32" t="str">
            <v>MR. PHADUNGSAK CHANSILA</v>
          </cell>
          <cell r="E32" t="str">
            <v>Male</v>
          </cell>
          <cell r="F32">
            <v>45145</v>
          </cell>
          <cell r="G32">
            <v>45205</v>
          </cell>
          <cell r="H32">
            <v>45235</v>
          </cell>
          <cell r="I32">
            <v>45264</v>
          </cell>
          <cell r="J32" t="str">
            <v>2 ปี 9 เดือน 18 วัน</v>
          </cell>
          <cell r="K32" t="str">
            <v>ประกอบ</v>
          </cell>
          <cell r="L32" t="str">
            <v>组装H9
เจ้าหน้าที่ประกอบH9</v>
          </cell>
          <cell r="M32" t="str">
            <v>Assembly</v>
          </cell>
          <cell r="N32">
            <v>36212</v>
          </cell>
          <cell r="O32">
            <v>27</v>
          </cell>
          <cell r="P32" t="str">
            <v>064-553-5752</v>
          </cell>
          <cell r="Q32" t="str">
            <v>1-4099-01782-83-4</v>
          </cell>
          <cell r="R32" t="str">
            <v>ไทย</v>
          </cell>
          <cell r="S32" t="str">
            <v>泰国</v>
          </cell>
          <cell r="T32" t="str">
            <v>ม.3</v>
          </cell>
          <cell r="U32" t="str">
            <v>160 หมู่ที่1 ต.ดพนงาม อ.โกสุมพิสัย จ.มหาสารคาม</v>
          </cell>
          <cell r="V32" t="str">
            <v>105 หมู่4 ต.มาบยางพร อ.ปลวกแดง จ.ระยอง</v>
          </cell>
          <cell r="W32" t="str">
            <v>รายเดือน</v>
          </cell>
          <cell r="X32" t="str">
            <v>在职</v>
          </cell>
        </row>
        <row r="33">
          <cell r="B33">
            <v>66064</v>
          </cell>
          <cell r="C33" t="str">
            <v>นายอรรถพร แสงตะวัน</v>
          </cell>
          <cell r="D33" t="str">
            <v>MR.ADTAPORN SANGTAWAN</v>
          </cell>
          <cell r="E33" t="str">
            <v>Male</v>
          </cell>
          <cell r="F33">
            <v>45146</v>
          </cell>
          <cell r="G33">
            <v>45206</v>
          </cell>
          <cell r="H33">
            <v>45236</v>
          </cell>
          <cell r="I33">
            <v>45265</v>
          </cell>
          <cell r="J33" t="str">
            <v>2 ปี 9 เดือน 17 วัน</v>
          </cell>
          <cell r="K33" t="str">
            <v>ประกอบ</v>
          </cell>
          <cell r="L33" t="str">
            <v>组装班长H9
หัวหน้างานประกอบH9</v>
          </cell>
          <cell r="M33" t="str">
            <v>Assembly</v>
          </cell>
          <cell r="N33">
            <v>37186</v>
          </cell>
          <cell r="O33">
            <v>24</v>
          </cell>
          <cell r="P33" t="str">
            <v>064-043-4791</v>
          </cell>
          <cell r="Q33" t="str">
            <v>1-3392-00006-64-2</v>
          </cell>
          <cell r="R33" t="str">
            <v>ไทย</v>
          </cell>
          <cell r="S33" t="str">
            <v>泰国</v>
          </cell>
          <cell r="T33" t="str">
            <v>ม.3</v>
          </cell>
          <cell r="U33" t="str">
            <v>72 หมู่ที่13 ต.กันทรอม อ.ขุนหาญ จ.ศรีสะเกษ</v>
          </cell>
          <cell r="V33" t="str">
            <v>89 หมู่4 ต.มาบยางพร อ.ปลวกแดง จ.ระยอง</v>
          </cell>
          <cell r="W33" t="str">
            <v>รายเดือน</v>
          </cell>
          <cell r="X33" t="str">
            <v>在职</v>
          </cell>
        </row>
        <row r="34">
          <cell r="B34">
            <v>66076</v>
          </cell>
          <cell r="C34" t="str">
            <v>นางสาวปรางทิพย์ เชื้อจีน</v>
          </cell>
          <cell r="D34" t="str">
            <v>MISS.PRANGTHIP  CHUAJEEN</v>
          </cell>
          <cell r="E34" t="str">
            <v>Female</v>
          </cell>
          <cell r="F34">
            <v>45174</v>
          </cell>
          <cell r="G34">
            <v>45234</v>
          </cell>
          <cell r="H34">
            <v>45264</v>
          </cell>
          <cell r="I34">
            <v>45293</v>
          </cell>
          <cell r="J34" t="str">
            <v>2 ปี 8 เดือน 20 วัน</v>
          </cell>
          <cell r="K34" t="str">
            <v>ตรวจสอบคุณภาพ</v>
          </cell>
          <cell r="L34" t="str">
            <v>检验员QC
เจ้าหน้าที่ QC</v>
          </cell>
          <cell r="M34" t="str">
            <v>Quality</v>
          </cell>
          <cell r="N34">
            <v>34614</v>
          </cell>
          <cell r="O34">
            <v>31</v>
          </cell>
          <cell r="P34" t="str">
            <v>082-617-9614</v>
          </cell>
          <cell r="Q34" t="str">
            <v>1-3020-00195-24-1</v>
          </cell>
          <cell r="R34" t="str">
            <v>ไทย</v>
          </cell>
          <cell r="S34" t="str">
            <v>泰国</v>
          </cell>
          <cell r="T34" t="str">
            <v>ปวส.</v>
          </cell>
          <cell r="U34" t="str">
            <v>97 หมู่ที่2 ต.วังโรงใหญ่ อ.สีคิ้ว จ.นครราชสีมา</v>
          </cell>
          <cell r="V34" t="str">
            <v>123/20  ม.4 ต.มะขามคู่ อ.นิคมพัฒนา จ.รแยง</v>
          </cell>
          <cell r="W34" t="str">
            <v>รายเดือน</v>
          </cell>
          <cell r="X34" t="str">
            <v>在职</v>
          </cell>
        </row>
        <row r="35">
          <cell r="B35">
            <v>66097</v>
          </cell>
          <cell r="C35" t="str">
            <v>MR.RAHUL SUDHAKARAN</v>
          </cell>
          <cell r="D35" t="str">
            <v>MR.RAHUL SUDHAKARAN</v>
          </cell>
          <cell r="E35" t="str">
            <v>Male</v>
          </cell>
          <cell r="F35">
            <v>45200</v>
          </cell>
          <cell r="G35">
            <v>45260</v>
          </cell>
          <cell r="H35">
            <v>45290</v>
          </cell>
          <cell r="I35">
            <v>45319</v>
          </cell>
          <cell r="J35" t="str">
            <v>2 ปี 7 เดือน 24 วัน</v>
          </cell>
          <cell r="K35" t="str">
            <v>ซ่อมบำรุง</v>
          </cell>
          <cell r="L35" t="str">
            <v>维修摸具
ช่างซ่อมแม่พิมพ์</v>
          </cell>
          <cell r="M35" t="str">
            <v>Equipment</v>
          </cell>
          <cell r="N35">
            <v>33939</v>
          </cell>
          <cell r="O35">
            <v>33</v>
          </cell>
          <cell r="P35" t="str">
            <v>098-592-5290</v>
          </cell>
          <cell r="Q35" t="str">
            <v>UO350072</v>
          </cell>
          <cell r="R35" t="str">
            <v>INDIAN</v>
          </cell>
          <cell r="S35" t="str">
            <v>印度</v>
          </cell>
          <cell r="T35" t="str">
            <v>ปริญญาตรี</v>
          </cell>
          <cell r="U35" t="str">
            <v>379/70 หมู่ที่ 1 ตำบลมะขามคู่ อำเภอนิคมพัฒนา จังหวัดระยอง</v>
          </cell>
          <cell r="V35" t="str">
            <v>379/70 หมู่ที่ 1 ตำบลมะขามคู่ อำเภอนิคมพัฒนา จังหวัดระยอง</v>
          </cell>
          <cell r="W35" t="str">
            <v>รายเดือน</v>
          </cell>
          <cell r="X35" t="str">
            <v>在职</v>
          </cell>
        </row>
        <row r="36">
          <cell r="B36">
            <v>66106</v>
          </cell>
          <cell r="C36" t="str">
            <v>นางสาวสุปรียา สนสร้อย</v>
          </cell>
          <cell r="D36" t="str">
            <v>MISS SUPRIYA  SOMSOL</v>
          </cell>
          <cell r="E36" t="str">
            <v>Female</v>
          </cell>
          <cell r="F36">
            <v>45227</v>
          </cell>
          <cell r="G36">
            <v>45287</v>
          </cell>
          <cell r="H36">
            <v>45317</v>
          </cell>
          <cell r="I36">
            <v>45346</v>
          </cell>
          <cell r="J36" t="str">
            <v>2 ปี 6 เดือน 27 วัน</v>
          </cell>
          <cell r="K36" t="str">
            <v>ประกอบ</v>
          </cell>
          <cell r="L36" t="str">
            <v>组装H9
เจ้าหน้าที่ประกอบH9</v>
          </cell>
          <cell r="M36" t="str">
            <v>Assembly</v>
          </cell>
          <cell r="N36">
            <v>36747</v>
          </cell>
          <cell r="O36">
            <v>25</v>
          </cell>
          <cell r="P36" t="str">
            <v>083-708-3561</v>
          </cell>
          <cell r="Q36" t="str">
            <v>1-3799-00132-38-1</v>
          </cell>
          <cell r="R36" t="str">
            <v>ไทย</v>
          </cell>
          <cell r="S36" t="str">
            <v>泰国</v>
          </cell>
          <cell r="T36" t="str">
            <v>ม.6</v>
          </cell>
          <cell r="U36" t="str">
            <v>143/4 ต.ดงมะยาง อ.ลืออำนาจ จ.อำนาจเจริญ</v>
          </cell>
          <cell r="V36" t="str">
            <v>699/4 ต.มาบยางพร อ.ปลวกแดง จ.ระยอง</v>
          </cell>
          <cell r="W36" t="str">
            <v>รายเดือน</v>
          </cell>
          <cell r="X36" t="str">
            <v>在职</v>
          </cell>
        </row>
        <row r="37">
          <cell r="B37">
            <v>66114</v>
          </cell>
          <cell r="C37" t="str">
            <v>นางสาวธนิศรา ภูกองทอง</v>
          </cell>
          <cell r="D37" t="str">
            <v>MS.THANITSARA PHOOKNGTHONG</v>
          </cell>
          <cell r="E37" t="str">
            <v>Female</v>
          </cell>
          <cell r="F37">
            <v>45231</v>
          </cell>
          <cell r="G37">
            <v>45291</v>
          </cell>
          <cell r="H37">
            <v>45321</v>
          </cell>
          <cell r="I37">
            <v>45350</v>
          </cell>
          <cell r="J37" t="str">
            <v>2 ปี 6 เดือน 24 วัน</v>
          </cell>
          <cell r="K37" t="str">
            <v>หลอมอลูมิเนียม</v>
          </cell>
          <cell r="L37" t="str">
            <v>压铸厂
ฝ่ายหลอมอลูมิเนียม+ขัดครีบ</v>
          </cell>
          <cell r="M37" t="str">
            <v>Die Casting</v>
          </cell>
          <cell r="N37">
            <v>33613</v>
          </cell>
          <cell r="O37">
            <v>34</v>
          </cell>
          <cell r="P37" t="str">
            <v>065-548-7585</v>
          </cell>
          <cell r="Q37" t="str">
            <v>1-1599-00165-43-5</v>
          </cell>
          <cell r="R37" t="str">
            <v>ไทย</v>
          </cell>
          <cell r="S37" t="str">
            <v>泰国</v>
          </cell>
          <cell r="T37" t="str">
            <v>ม.3</v>
          </cell>
          <cell r="U37" t="str">
            <v>7 หมู่ที่4 ต.อิตื้อ อ.ยางตลาด จ.กาฬสินธุ์</v>
          </cell>
          <cell r="V37" t="str">
            <v>620 ม.4 ต.พนานิคม อ.นิคมพัฒนา จ.ระยอง</v>
          </cell>
          <cell r="W37" t="str">
            <v>รายเดือน</v>
          </cell>
          <cell r="X37" t="str">
            <v>在职</v>
          </cell>
        </row>
        <row r="38">
          <cell r="B38">
            <v>66118</v>
          </cell>
          <cell r="C38" t="str">
            <v>นางสาวศุกร์กัญญา เนาวราช</v>
          </cell>
          <cell r="D38" t="str">
            <v>MISS SUKANYA  NAOWARAT</v>
          </cell>
          <cell r="E38" t="str">
            <v>Female</v>
          </cell>
          <cell r="F38">
            <v>45243</v>
          </cell>
          <cell r="G38">
            <v>45303</v>
          </cell>
          <cell r="H38">
            <v>45333</v>
          </cell>
          <cell r="I38">
            <v>45362</v>
          </cell>
          <cell r="J38" t="str">
            <v>2 ปี 6 เดือน 12 วัน</v>
          </cell>
          <cell r="K38" t="str">
            <v>คลังสินค้า</v>
          </cell>
          <cell r="L38" t="str">
            <v>挑选
เจ้าหน้าที่คัดงาน</v>
          </cell>
          <cell r="M38" t="str">
            <v>Warehouse</v>
          </cell>
          <cell r="N38">
            <v>36420</v>
          </cell>
          <cell r="O38">
            <v>26</v>
          </cell>
          <cell r="P38" t="str">
            <v>061-051-5271</v>
          </cell>
          <cell r="Q38" t="str">
            <v>1-3404-00233-92-0</v>
          </cell>
          <cell r="R38" t="str">
            <v>ไทย</v>
          </cell>
          <cell r="S38" t="str">
            <v>泰国</v>
          </cell>
          <cell r="T38" t="str">
            <v>ม.3</v>
          </cell>
          <cell r="U38" t="str">
            <v>60 หมู่ที่13 ต.สร้างถ่อ อ.เขื่องใน จ.อุบลราชธานี</v>
          </cell>
          <cell r="V38" t="str">
            <v>687/13 ซอย14 หมู่ที่4 ต.พนานิคม อ.นิคมพัฒนา จ.ระยอง</v>
          </cell>
          <cell r="W38" t="str">
            <v>รายเดือน</v>
          </cell>
          <cell r="X38" t="str">
            <v>在职</v>
          </cell>
        </row>
        <row r="39">
          <cell r="B39">
            <v>66119</v>
          </cell>
          <cell r="C39" t="str">
            <v>นายจตุพงษ์ วงษาสืบ</v>
          </cell>
          <cell r="D39" t="str">
            <v>MR.JATUPONG  WONGSASUEP</v>
          </cell>
          <cell r="E39" t="str">
            <v>Male</v>
          </cell>
          <cell r="F39">
            <v>45246</v>
          </cell>
          <cell r="G39">
            <v>45306</v>
          </cell>
          <cell r="H39">
            <v>45336</v>
          </cell>
          <cell r="I39">
            <v>45365</v>
          </cell>
          <cell r="J39" t="str">
            <v>2 ปี 6 เดือน 9 วัน</v>
          </cell>
          <cell r="K39" t="str">
            <v>Welding</v>
          </cell>
          <cell r="L39" t="str">
            <v>Roblox焊接操作工
เจ้าหน้าที่เชื่อมโรบอท</v>
          </cell>
          <cell r="M39" t="str">
            <v>Welding</v>
          </cell>
          <cell r="N39">
            <v>35800</v>
          </cell>
          <cell r="O39">
            <v>28</v>
          </cell>
          <cell r="P39" t="str">
            <v>096-640-3482</v>
          </cell>
          <cell r="Q39" t="str">
            <v>1-4407-00142-60-1</v>
          </cell>
          <cell r="R39" t="str">
            <v>ไทย</v>
          </cell>
          <cell r="S39" t="str">
            <v>泰国</v>
          </cell>
          <cell r="T39" t="str">
            <v>ม.6</v>
          </cell>
          <cell r="U39" t="str">
            <v>69/19 หมู่ที่19 ต.เขวาไร่ อ.นาเชือก จ.มหาสารคาม</v>
          </cell>
          <cell r="V39" t="str">
            <v>77/72 หมู่ที่3 ต.มาบยางพร อ.ปลวกแดง จ.ระยอง</v>
          </cell>
          <cell r="W39" t="str">
            <v>รายเดือน</v>
          </cell>
          <cell r="X39" t="str">
            <v>在职</v>
          </cell>
        </row>
        <row r="40">
          <cell r="B40">
            <v>67009</v>
          </cell>
          <cell r="C40" t="str">
            <v>นายกิตติวัฒน์ พันหล่อมโส</v>
          </cell>
          <cell r="D40" t="str">
            <v>MR.KITTIWAT PHANLOMSO</v>
          </cell>
          <cell r="E40" t="str">
            <v>Male</v>
          </cell>
          <cell r="F40">
            <v>45303</v>
          </cell>
          <cell r="G40">
            <v>45363</v>
          </cell>
          <cell r="H40">
            <v>45393</v>
          </cell>
          <cell r="I40">
            <v>45422</v>
          </cell>
          <cell r="J40" t="str">
            <v>2 ปี 4 เดือน 13 วัน</v>
          </cell>
          <cell r="K40" t="str">
            <v>ประกอบ</v>
          </cell>
          <cell r="L40" t="str">
            <v>组装H9
เจ้าหน้าที่ประกอบH9</v>
          </cell>
          <cell r="M40" t="str">
            <v>Assembly</v>
          </cell>
          <cell r="N40">
            <v>37599</v>
          </cell>
          <cell r="O40">
            <v>23</v>
          </cell>
          <cell r="P40" t="str">
            <v>098-470-0208</v>
          </cell>
          <cell r="Q40" t="str">
            <v>1-4492-00007-16-8</v>
          </cell>
          <cell r="R40" t="str">
            <v>ไทย</v>
          </cell>
          <cell r="S40" t="str">
            <v>泰国</v>
          </cell>
          <cell r="T40" t="str">
            <v>ม.3</v>
          </cell>
          <cell r="U40" t="str">
            <v>9 หมู่ที่4 ต.สันป่าตอง อ.นาเชือก จ.มหาสารคาม</v>
          </cell>
          <cell r="V40" t="str">
            <v>64/8 หมู่ที่4 ต.บึง อ.ศรีราชา จ.ชลบุรี</v>
          </cell>
          <cell r="W40" t="str">
            <v>รายเดือน</v>
          </cell>
          <cell r="X40" t="str">
            <v>在职</v>
          </cell>
        </row>
        <row r="41">
          <cell r="B41">
            <v>67012</v>
          </cell>
          <cell r="C41" t="str">
            <v>นายธีรนันท์ ทองโกย</v>
          </cell>
          <cell r="D41" t="str">
            <v>MR.THIRANAN  THONGKOI</v>
          </cell>
          <cell r="E41" t="str">
            <v>Male</v>
          </cell>
          <cell r="F41">
            <v>45303</v>
          </cell>
          <cell r="G41">
            <v>45363</v>
          </cell>
          <cell r="H41">
            <v>45393</v>
          </cell>
          <cell r="I41">
            <v>45422</v>
          </cell>
          <cell r="J41" t="str">
            <v>2 ปี 4 เดือน 13 วัน</v>
          </cell>
          <cell r="K41" t="str">
            <v>คลังสินค้า</v>
          </cell>
          <cell r="L41" t="str">
            <v>仓库管理员
เจ้าหน้าที่คลังสินค้า</v>
          </cell>
          <cell r="M41" t="str">
            <v>Warehouse</v>
          </cell>
          <cell r="N41">
            <v>35794</v>
          </cell>
          <cell r="O41">
            <v>28</v>
          </cell>
          <cell r="P41" t="str">
            <v>090-960-7000</v>
          </cell>
          <cell r="Q41" t="str">
            <v>1-3102-00143-01-3</v>
          </cell>
          <cell r="R41" t="str">
            <v>ไทย</v>
          </cell>
          <cell r="S41" t="str">
            <v>泰国</v>
          </cell>
          <cell r="T41" t="str">
            <v>ม.6</v>
          </cell>
          <cell r="U41" t="str">
            <v>98/2 หมู่ที่2 ต.เมืองแฟก อ.ลำปลายมาศ จ.บุรีรัมย์</v>
          </cell>
          <cell r="V41" t="str">
            <v>227 ม.6 ต.มาบยางพร อ.ปลวกแดง จ.ระยอง</v>
          </cell>
          <cell r="W41" t="str">
            <v>รายเดือน</v>
          </cell>
          <cell r="X41" t="str">
            <v>在职</v>
          </cell>
        </row>
        <row r="42">
          <cell r="B42">
            <v>67019</v>
          </cell>
          <cell r="C42" t="str">
            <v>นายธนกร บุญประเสริฐ</v>
          </cell>
          <cell r="D42" t="str">
            <v>MR.TANAKORN BUNPRASROET</v>
          </cell>
          <cell r="E42" t="str">
            <v>Male</v>
          </cell>
          <cell r="F42">
            <v>45316</v>
          </cell>
          <cell r="G42">
            <v>45376</v>
          </cell>
          <cell r="H42">
            <v>45406</v>
          </cell>
          <cell r="I42">
            <v>45435</v>
          </cell>
          <cell r="J42" t="str">
            <v>2 ปี 4 เดือน 0 วัน</v>
          </cell>
          <cell r="K42" t="str">
            <v>ประกอบ</v>
          </cell>
          <cell r="L42" t="str">
            <v>组装H9
เจ้าหน้าที่ประกอบH9</v>
          </cell>
          <cell r="M42" t="str">
            <v>Assembly</v>
          </cell>
          <cell r="N42">
            <v>36603</v>
          </cell>
          <cell r="O42">
            <v>26</v>
          </cell>
          <cell r="P42" t="str">
            <v>092-709-1502</v>
          </cell>
          <cell r="Q42" t="str">
            <v>1-1101-01252-02-9</v>
          </cell>
          <cell r="R42" t="str">
            <v>ไทย</v>
          </cell>
          <cell r="S42" t="str">
            <v>泰国</v>
          </cell>
          <cell r="T42" t="str">
            <v>ปวช.</v>
          </cell>
          <cell r="U42" t="str">
            <v>167 หมู่ที่ 2ต.สงยาง อ.มหาชนะชัย จ.ยโสธร</v>
          </cell>
          <cell r="V42" t="str">
            <v>89/224 ม.7 ต.บ่อวิน อ.ศรีราชา จ.ชลบุรี</v>
          </cell>
          <cell r="W42" t="str">
            <v>รายเดือน</v>
          </cell>
          <cell r="X42" t="str">
            <v>在职</v>
          </cell>
        </row>
        <row r="43">
          <cell r="B43">
            <v>67024</v>
          </cell>
          <cell r="C43" t="str">
            <v>นายพัชรพล ลุขำ</v>
          </cell>
          <cell r="D43" t="str">
            <v>MR.PATCHARAPON LUKHAM</v>
          </cell>
          <cell r="E43" t="str">
            <v>Male</v>
          </cell>
          <cell r="F43">
            <v>45317</v>
          </cell>
          <cell r="G43">
            <v>45377</v>
          </cell>
          <cell r="H43">
            <v>45407</v>
          </cell>
          <cell r="I43">
            <v>45436</v>
          </cell>
          <cell r="J43" t="str">
            <v>2 ปี 3 เดือน 29 วัน</v>
          </cell>
          <cell r="K43" t="str">
            <v>ประกอบ</v>
          </cell>
          <cell r="L43" t="str">
            <v>组装H9
เจ้าหน้าที่ประกอบH9</v>
          </cell>
          <cell r="M43" t="str">
            <v>Assembly</v>
          </cell>
          <cell r="N43">
            <v>36550</v>
          </cell>
          <cell r="O43">
            <v>26</v>
          </cell>
          <cell r="P43" t="str">
            <v>062-548-7513</v>
          </cell>
          <cell r="Q43" t="str">
            <v>1-3501-01565-55-6</v>
          </cell>
          <cell r="R43" t="str">
            <v>ไทย</v>
          </cell>
          <cell r="S43" t="str">
            <v>泰国</v>
          </cell>
          <cell r="T43" t="str">
            <v>ปวช.</v>
          </cell>
          <cell r="U43" t="str">
            <v>33 หมู่ที่2 ต.หัวเมือง อ.มหาชนะชัย จ.ยโสธร</v>
          </cell>
          <cell r="V43" t="str">
            <v>190/1-14 ต.มาบยางพร อ.ปลวกแดง จ.ระยอง</v>
          </cell>
          <cell r="W43" t="str">
            <v>รายเดือน</v>
          </cell>
          <cell r="X43" t="str">
            <v>在职</v>
          </cell>
        </row>
        <row r="44">
          <cell r="B44">
            <v>67025</v>
          </cell>
          <cell r="C44" t="str">
            <v>นายธนกฤต บุญประเสริฐ</v>
          </cell>
          <cell r="D44" t="str">
            <v>MR.TANAKRIT BUNPRASROET</v>
          </cell>
          <cell r="E44" t="str">
            <v>Male</v>
          </cell>
          <cell r="F44">
            <v>45317</v>
          </cell>
          <cell r="G44">
            <v>45377</v>
          </cell>
          <cell r="H44">
            <v>45407</v>
          </cell>
          <cell r="I44">
            <v>45436</v>
          </cell>
          <cell r="J44" t="str">
            <v>2 ปี 3 เดือน 29 วัน</v>
          </cell>
          <cell r="K44" t="str">
            <v>ประกอบ</v>
          </cell>
          <cell r="L44" t="str">
            <v>组装H9
เจ้าหน้าที่ประกอบH9</v>
          </cell>
          <cell r="M44" t="str">
            <v>Assembly</v>
          </cell>
          <cell r="N44">
            <v>36603</v>
          </cell>
          <cell r="O44">
            <v>26</v>
          </cell>
          <cell r="P44" t="str">
            <v>098-146-9431</v>
          </cell>
          <cell r="Q44" t="str">
            <v>1-1101-01252-01-1</v>
          </cell>
          <cell r="R44" t="str">
            <v>ไทย</v>
          </cell>
          <cell r="S44" t="str">
            <v>泰国</v>
          </cell>
          <cell r="T44" t="str">
            <v>ปวช.</v>
          </cell>
          <cell r="U44" t="str">
            <v>167 หมู่ที่ 2ต.สงยาง อ.มหาชนะชัย จ.ยโสธร</v>
          </cell>
          <cell r="V44" t="str">
            <v>89/224 ม.7 ต.บ่อวิน อ.ศรีราชา จ.ชลบุรี</v>
          </cell>
          <cell r="W44" t="str">
            <v>รายเดือน</v>
          </cell>
          <cell r="X44" t="str">
            <v>在职</v>
          </cell>
        </row>
        <row r="45">
          <cell r="B45">
            <v>67031</v>
          </cell>
          <cell r="C45" t="str">
            <v>นางสาวมินตรา อัคนิจ</v>
          </cell>
          <cell r="D45" t="str">
            <v>MISS MINTRA AKKANIJ</v>
          </cell>
          <cell r="E45" t="str">
            <v>Female</v>
          </cell>
          <cell r="F45">
            <v>45325</v>
          </cell>
          <cell r="G45">
            <v>45385</v>
          </cell>
          <cell r="H45">
            <v>45415</v>
          </cell>
          <cell r="I45">
            <v>45444</v>
          </cell>
          <cell r="J45" t="str">
            <v>2 ปี 3 เดือน 22 วัน</v>
          </cell>
          <cell r="K45" t="str">
            <v>ประกอบ</v>
          </cell>
          <cell r="L45" t="str">
            <v>组装H9
เจ้าหน้าที่ประกอบH9</v>
          </cell>
          <cell r="M45" t="str">
            <v>Assembly</v>
          </cell>
          <cell r="N45">
            <v>36785</v>
          </cell>
          <cell r="O45">
            <v>25</v>
          </cell>
          <cell r="P45" t="str">
            <v>093-467-6204</v>
          </cell>
          <cell r="Q45" t="str">
            <v>1-4712-01436-97-9</v>
          </cell>
          <cell r="R45" t="str">
            <v>ไทย</v>
          </cell>
          <cell r="S45" t="str">
            <v>泰国</v>
          </cell>
          <cell r="T45" t="str">
            <v>ม.3</v>
          </cell>
          <cell r="U45" t="str">
            <v>248 หมู่ที่4 ต.บ้านค้าย อ.สว่างแดนดิน จ.ยโสธร</v>
          </cell>
          <cell r="V45" t="str">
            <v>699 ม.4 ต.มาบยางพร อ.ปลวกแดง จ.ระยอง</v>
          </cell>
          <cell r="W45" t="str">
            <v>รายเดือน</v>
          </cell>
          <cell r="X45" t="str">
            <v>在职</v>
          </cell>
        </row>
        <row r="46">
          <cell r="B46">
            <v>67034</v>
          </cell>
          <cell r="C46" t="str">
            <v>นางสาวอวยพร ภูทัด</v>
          </cell>
          <cell r="D46" t="str">
            <v>MRS.OUAIPORN PHOOTAD</v>
          </cell>
          <cell r="E46" t="str">
            <v>Female</v>
          </cell>
          <cell r="F46">
            <v>45327</v>
          </cell>
          <cell r="G46">
            <v>45387</v>
          </cell>
          <cell r="H46">
            <v>45417</v>
          </cell>
          <cell r="I46">
            <v>45446</v>
          </cell>
          <cell r="J46" t="str">
            <v>2 ปี 3 เดือน 20 วัน</v>
          </cell>
          <cell r="K46" t="str">
            <v>HR &amp; Administration</v>
          </cell>
          <cell r="L46" t="str">
            <v>Maid</v>
          </cell>
          <cell r="M46" t="str">
            <v>HR &amp; Administration</v>
          </cell>
          <cell r="N46">
            <v>29868</v>
          </cell>
          <cell r="O46">
            <v>44</v>
          </cell>
          <cell r="P46" t="str">
            <v>061-620-7597</v>
          </cell>
          <cell r="Q46" t="str">
            <v>3-4119-00841-10-1</v>
          </cell>
          <cell r="R46" t="str">
            <v>ไทย</v>
          </cell>
          <cell r="S46" t="str">
            <v>泰国</v>
          </cell>
          <cell r="T46" t="str">
            <v>ป.6</v>
          </cell>
          <cell r="U46" t="str">
            <v>197/4 หมู่ที่4 ต.สมสนุก อ.ปากคาด จ.บึงกาฬ</v>
          </cell>
          <cell r="V46" t="str">
            <v>ป้าสไหว</v>
          </cell>
          <cell r="W46" t="str">
            <v>รายเดือน</v>
          </cell>
          <cell r="X46" t="str">
            <v>在职</v>
          </cell>
        </row>
        <row r="47">
          <cell r="B47">
            <v>67046</v>
          </cell>
          <cell r="C47" t="str">
            <v>นายเกียรติศักดิ์ จุปะมะโน</v>
          </cell>
          <cell r="D47" t="str">
            <v>MR.KIADTISAK CHUPAMANO</v>
          </cell>
          <cell r="E47" t="str">
            <v>Male</v>
          </cell>
          <cell r="F47">
            <v>45329</v>
          </cell>
          <cell r="G47">
            <v>45389</v>
          </cell>
          <cell r="H47">
            <v>45419</v>
          </cell>
          <cell r="I47">
            <v>45448</v>
          </cell>
          <cell r="J47" t="str">
            <v>2 ปี 3 เดือน 18 วัน</v>
          </cell>
          <cell r="K47" t="str">
            <v>Welding</v>
          </cell>
          <cell r="L47" t="str">
            <v>Roblox焊接操作工
เจ้าหน้าที่เชื่อมโรบอท</v>
          </cell>
          <cell r="M47" t="str">
            <v>Welding</v>
          </cell>
          <cell r="N47">
            <v>36468</v>
          </cell>
          <cell r="O47">
            <v>26</v>
          </cell>
          <cell r="P47" t="str">
            <v>062-138-6200</v>
          </cell>
          <cell r="Q47" t="str">
            <v>1-4499-00554-35-8</v>
          </cell>
          <cell r="R47" t="str">
            <v>ไทย</v>
          </cell>
          <cell r="S47" t="str">
            <v>泰国</v>
          </cell>
          <cell r="T47" t="str">
            <v>ปวช.</v>
          </cell>
          <cell r="U47" t="str">
            <v>47 หมู่ที่ 7 ต.บัวมาศ อ.บรบือ จ.มหาสารคาม</v>
          </cell>
          <cell r="V47" t="str">
            <v>2/138 หมูที่ 2 ต.มะขามคู่ อ.นิคมพัฒนา จ.ระยอง</v>
          </cell>
          <cell r="W47" t="str">
            <v>รายเดือน</v>
          </cell>
          <cell r="X47" t="str">
            <v>在职</v>
          </cell>
        </row>
        <row r="48">
          <cell r="B48">
            <v>67065</v>
          </cell>
          <cell r="C48" t="str">
            <v>นายอุทิส สายศรี</v>
          </cell>
          <cell r="D48" t="str">
            <v>MR.AUTHIT SAISRI</v>
          </cell>
          <cell r="E48" t="str">
            <v>Male</v>
          </cell>
          <cell r="F48">
            <v>45348</v>
          </cell>
          <cell r="G48">
            <v>45408</v>
          </cell>
          <cell r="H48">
            <v>45438</v>
          </cell>
          <cell r="I48">
            <v>45467</v>
          </cell>
          <cell r="J48" t="str">
            <v>2 ปี 2 เดือน 29 วัน</v>
          </cell>
          <cell r="K48" t="str">
            <v>คลังสินค้า</v>
          </cell>
          <cell r="L48" t="str">
            <v>仓库管理员
คลังสินค้า (ขับโฟร์คลิฟทฺ)</v>
          </cell>
          <cell r="M48" t="str">
            <v>Warehouse</v>
          </cell>
          <cell r="N48">
            <v>36704</v>
          </cell>
          <cell r="O48">
            <v>25</v>
          </cell>
          <cell r="P48" t="str">
            <v>063-906-5923</v>
          </cell>
          <cell r="Q48" t="str">
            <v>1-3501-01581-36-5</v>
          </cell>
          <cell r="R48" t="str">
            <v>ไทย</v>
          </cell>
          <cell r="S48" t="str">
            <v>泰国</v>
          </cell>
          <cell r="T48" t="str">
            <v>ม.6</v>
          </cell>
          <cell r="U48" t="str">
            <v>76 หมู่ที่1 ต.เดิด อ.เมืองยโสธร จ.ยโสธร</v>
          </cell>
          <cell r="V48" t="str">
            <v>187/138 ต.นิคมพัฒนา อ.นิคมพัฒนา จ.ระยอง</v>
          </cell>
          <cell r="W48" t="str">
            <v>รายเดือน</v>
          </cell>
          <cell r="X48" t="str">
            <v>在职</v>
          </cell>
        </row>
        <row r="49">
          <cell r="B49">
            <v>67070</v>
          </cell>
          <cell r="C49" t="str">
            <v>ว่าที่ร้อยตรีทวีวุฒิ คำโพธิ์</v>
          </cell>
          <cell r="D49" t="str">
            <v>MR.TAWEEWUT CAMPHO</v>
          </cell>
          <cell r="E49" t="str">
            <v>Male</v>
          </cell>
          <cell r="F49">
            <v>45362</v>
          </cell>
          <cell r="G49">
            <v>45422</v>
          </cell>
          <cell r="H49">
            <v>45452</v>
          </cell>
          <cell r="I49">
            <v>45481</v>
          </cell>
          <cell r="J49" t="str">
            <v>2 ปี 2 เดือน 14 วัน</v>
          </cell>
          <cell r="K49" t="str">
            <v>ซ่อมบำรุง</v>
          </cell>
          <cell r="L49" t="str">
            <v>压铸 维修摸具
โรงหล่อ ช่างซ่อมแม่พิมพ์</v>
          </cell>
          <cell r="M49" t="str">
            <v>Equipment</v>
          </cell>
          <cell r="N49">
            <v>33015</v>
          </cell>
          <cell r="O49">
            <v>36</v>
          </cell>
          <cell r="P49" t="str">
            <v>061-361-0425</v>
          </cell>
          <cell r="Q49" t="str">
            <v>1-3399-00167-68-1</v>
          </cell>
          <cell r="R49" t="str">
            <v>ไทย</v>
          </cell>
          <cell r="S49" t="str">
            <v>泰国</v>
          </cell>
          <cell r="T49" t="str">
            <v>ปวส.</v>
          </cell>
          <cell r="U49" t="str">
            <v>122 หมู่ที่5  ต.หนองต้า อ.พยุห์ จ.ศรีสะเกษ</v>
          </cell>
          <cell r="V49" t="str">
            <v>122 หมู่ที่5  ต.หนองต้า อ.พยุห์ จ.ศรีสะเกษ</v>
          </cell>
          <cell r="W49" t="str">
            <v>รายเดือน</v>
          </cell>
          <cell r="X49" t="str">
            <v>在职</v>
          </cell>
        </row>
        <row r="50">
          <cell r="B50">
            <v>67071</v>
          </cell>
          <cell r="C50" t="str">
            <v>นางสาวจันทิมา อ้นเกตุ</v>
          </cell>
          <cell r="D50" t="str">
            <v>MISS. JANTIMA ONKET</v>
          </cell>
          <cell r="E50" t="str">
            <v>Female</v>
          </cell>
          <cell r="F50">
            <v>45362</v>
          </cell>
          <cell r="G50">
            <v>45422</v>
          </cell>
          <cell r="H50">
            <v>45452</v>
          </cell>
          <cell r="I50">
            <v>45481</v>
          </cell>
          <cell r="J50" t="str">
            <v>2 ปี 2 เดือน 14 วัน</v>
          </cell>
          <cell r="K50" t="str">
            <v>SAFETY OFFICE</v>
          </cell>
          <cell r="L50" t="str">
            <v>安环 SAFETY OFFICE</v>
          </cell>
          <cell r="M50" t="str">
            <v>Safety and environment</v>
          </cell>
          <cell r="N50">
            <v>35597</v>
          </cell>
          <cell r="O50">
            <v>28</v>
          </cell>
          <cell r="P50" t="str">
            <v>096-770-5798</v>
          </cell>
          <cell r="Q50" t="str">
            <v>1-6399-00269-37-6</v>
          </cell>
          <cell r="R50" t="str">
            <v>ไทย</v>
          </cell>
          <cell r="S50" t="str">
            <v>泰国</v>
          </cell>
          <cell r="T50" t="str">
            <v>ปริญญาตรี</v>
          </cell>
          <cell r="U50" t="str">
            <v>560/83 ม.3 ต.หนองขาม อ.ศรีราชา จ.ชลบุรี</v>
          </cell>
          <cell r="V50" t="str">
            <v>575/27 ม.4 ซอย 14  ต.พนานิคม  อ.นิคมพัฒนา  จ.ระยอง</v>
          </cell>
          <cell r="W50" t="str">
            <v>รายเดือน</v>
          </cell>
          <cell r="X50" t="str">
            <v>在职</v>
          </cell>
        </row>
        <row r="51">
          <cell r="B51">
            <v>67074</v>
          </cell>
          <cell r="C51" t="str">
            <v>นายพิเชษฐ์ วรรณวงศ์</v>
          </cell>
          <cell r="D51" t="str">
            <v>MR.PICHET WANNAWONG</v>
          </cell>
          <cell r="E51" t="str">
            <v>Male</v>
          </cell>
          <cell r="F51">
            <v>45369</v>
          </cell>
          <cell r="G51">
            <v>45429</v>
          </cell>
          <cell r="H51">
            <v>45459</v>
          </cell>
          <cell r="I51">
            <v>45488</v>
          </cell>
          <cell r="J51" t="str">
            <v>2 ปี 2 เดือน 7 วัน</v>
          </cell>
          <cell r="K51" t="str">
            <v>ตรวจสอบคุณภาพ</v>
          </cell>
          <cell r="L51" t="str">
            <v>TECHNICAL QUALITY QC</v>
          </cell>
          <cell r="M51" t="str">
            <v>Quality</v>
          </cell>
          <cell r="N51">
            <v>26957</v>
          </cell>
          <cell r="O51">
            <v>52</v>
          </cell>
          <cell r="P51" t="str">
            <v>094-486-9245</v>
          </cell>
          <cell r="Q51" t="str">
            <v>3-1009-01603-10-8</v>
          </cell>
          <cell r="R51" t="str">
            <v>ไทย</v>
          </cell>
          <cell r="S51" t="str">
            <v>泰国</v>
          </cell>
          <cell r="T51" t="str">
            <v>ปวส.</v>
          </cell>
          <cell r="U51" t="str">
            <v>968/33 หมู่ที่6 ต.แพรกษา อ.เมือง จ.สมุทรปราการ</v>
          </cell>
          <cell r="V51" t="str">
            <v>968/33 หมู่ที่6 ต.แพรกษา อ.เมือง จ.สมุทรปราการ</v>
          </cell>
          <cell r="W51" t="str">
            <v>รายเดือน</v>
          </cell>
          <cell r="X51" t="str">
            <v>在职</v>
          </cell>
        </row>
        <row r="52">
          <cell r="B52">
            <v>67083</v>
          </cell>
          <cell r="C52" t="str">
            <v>นางสาวอมรพรรณ สวดสม</v>
          </cell>
          <cell r="D52" t="str">
            <v>MISS AMORNPAN SUADSOM</v>
          </cell>
          <cell r="E52" t="str">
            <v>Female</v>
          </cell>
          <cell r="F52">
            <v>45411</v>
          </cell>
          <cell r="G52">
            <v>45471</v>
          </cell>
          <cell r="H52">
            <v>45501</v>
          </cell>
          <cell r="I52">
            <v>45530</v>
          </cell>
          <cell r="J52" t="str">
            <v>2 ปี 0 เดือน 26 วัน</v>
          </cell>
          <cell r="K52" t="str">
            <v>ประกอบ</v>
          </cell>
          <cell r="L52" t="str">
            <v>套扣操作工
เจ้าหน้าที่ต๊าปเกลียว</v>
          </cell>
          <cell r="M52" t="str">
            <v>Taping</v>
          </cell>
          <cell r="N52">
            <v>34814</v>
          </cell>
          <cell r="O52">
            <v>31</v>
          </cell>
          <cell r="P52" t="str">
            <v>098-198-9508</v>
          </cell>
          <cell r="Q52" t="str">
            <v>1-3904-00025-24-3</v>
          </cell>
          <cell r="R52" t="str">
            <v>Thai</v>
          </cell>
          <cell r="S52" t="str">
            <v>泰国</v>
          </cell>
          <cell r="T52" t="str">
            <v>ม.3</v>
          </cell>
          <cell r="U52" t="str">
            <v>103 หมู่ที่1 ต.ทรายทอง อ.ศรีบุญเรือง จ.หนองบัวลำพูน</v>
          </cell>
          <cell r="V52" t="str">
            <v>103 หมู่ที่1 ต.ทรายทอง อ.ศรีบุญเรือง จ.หนองบัวลำพูน</v>
          </cell>
          <cell r="W52" t="str">
            <v>รายเดือน</v>
          </cell>
          <cell r="X52" t="str">
            <v>在职</v>
          </cell>
        </row>
        <row r="53">
          <cell r="B53">
            <v>67084</v>
          </cell>
          <cell r="C53" t="str">
            <v>นายปรัชวัฒน์ สอสุทำ</v>
          </cell>
          <cell r="D53" t="str">
            <v>MR.PATCHAWAT SOSUTHAM</v>
          </cell>
          <cell r="E53" t="str">
            <v>Male</v>
          </cell>
          <cell r="F53">
            <v>45411</v>
          </cell>
          <cell r="G53">
            <v>45471</v>
          </cell>
          <cell r="H53">
            <v>45501</v>
          </cell>
          <cell r="I53">
            <v>45530</v>
          </cell>
          <cell r="J53" t="str">
            <v>2 ปี 0 เดือน 26 วัน</v>
          </cell>
          <cell r="K53" t="str">
            <v>Welding</v>
          </cell>
          <cell r="L53" t="str">
            <v>Sport焊接操作工
เจ้าหน้าที่เชื่อมสปอร์ต</v>
          </cell>
          <cell r="M53" t="str">
            <v>Welding</v>
          </cell>
          <cell r="N53">
            <v>37919</v>
          </cell>
          <cell r="O53">
            <v>22</v>
          </cell>
          <cell r="P53" t="str">
            <v>098-213-3437</v>
          </cell>
          <cell r="Q53" t="str">
            <v>1-4499-00686-28-9</v>
          </cell>
          <cell r="R53" t="str">
            <v>ไทย</v>
          </cell>
          <cell r="S53" t="str">
            <v>泰国</v>
          </cell>
          <cell r="T53" t="str">
            <v>ม.6</v>
          </cell>
          <cell r="U53" t="str">
            <v>13 หมู่ที่7 ต.บัวมาศ อ.บรบือ จ.มหาสารคาม</v>
          </cell>
          <cell r="V53" t="str">
            <v>2/138 หมูที่ 2 ต.มะขามคู่ อ.นิคมพัฒนา จ.ระยอง</v>
          </cell>
          <cell r="W53" t="str">
            <v>รายเดือน</v>
          </cell>
          <cell r="X53" t="str">
            <v>在职</v>
          </cell>
        </row>
        <row r="54">
          <cell r="B54">
            <v>67087</v>
          </cell>
          <cell r="C54" t="str">
            <v>นางสาวอรจิรา กมล</v>
          </cell>
          <cell r="D54" t="str">
            <v>MISS ONCHIRA KAMON</v>
          </cell>
          <cell r="E54" t="str">
            <v>Female</v>
          </cell>
          <cell r="F54">
            <v>45418</v>
          </cell>
          <cell r="G54">
            <v>45478</v>
          </cell>
          <cell r="H54">
            <v>45508</v>
          </cell>
          <cell r="I54">
            <v>45537</v>
          </cell>
          <cell r="J54" t="str">
            <v>2 ปี 0 เดือน 19 วัน</v>
          </cell>
          <cell r="K54" t="str">
            <v>คลังสินค้า</v>
          </cell>
          <cell r="L54" t="str">
            <v>挑选
เจ้าหน้าที่คัดงาน</v>
          </cell>
          <cell r="M54" t="str">
            <v>Warehouse</v>
          </cell>
          <cell r="N54">
            <v>38594</v>
          </cell>
          <cell r="O54">
            <v>20</v>
          </cell>
          <cell r="P54" t="str">
            <v>065-613-0946</v>
          </cell>
          <cell r="Q54" t="str">
            <v>1-3501-01758-94-0</v>
          </cell>
          <cell r="R54" t="str">
            <v>Thai</v>
          </cell>
          <cell r="S54" t="str">
            <v>泰国</v>
          </cell>
          <cell r="T54" t="str">
            <v>ม.6</v>
          </cell>
          <cell r="U54" t="str">
            <v>10/1 ต.เดิด อ.เมือง จ.ยโสธร</v>
          </cell>
          <cell r="V54" t="str">
            <v>10/1 ต.เดิด อ.เมือง จ.ยโสธร</v>
          </cell>
          <cell r="W54" t="str">
            <v>รายเดือน</v>
          </cell>
          <cell r="X54" t="str">
            <v>在职</v>
          </cell>
        </row>
        <row r="55">
          <cell r="B55">
            <v>67093</v>
          </cell>
          <cell r="C55" t="str">
            <v>นางสาวกัลยา แซ่ม้า</v>
          </cell>
          <cell r="D55" t="str">
            <v>MISS KANLAYA  SEAMA</v>
          </cell>
          <cell r="E55" t="str">
            <v>Female</v>
          </cell>
          <cell r="F55">
            <v>45426</v>
          </cell>
          <cell r="G55">
            <v>45486</v>
          </cell>
          <cell r="H55">
            <v>45516</v>
          </cell>
          <cell r="I55">
            <v>45545</v>
          </cell>
          <cell r="J55" t="str">
            <v>2 ปี 0 เดือน 11 วัน</v>
          </cell>
          <cell r="K55" t="str">
            <v>คลังสินค้า</v>
          </cell>
          <cell r="L55" t="str">
            <v>挑选
เจ้าหน้าที่คัดงาน</v>
          </cell>
          <cell r="M55" t="str">
            <v>Warehouse</v>
          </cell>
          <cell r="N55">
            <v>37964</v>
          </cell>
          <cell r="O55">
            <v>22</v>
          </cell>
          <cell r="P55" t="str">
            <v>093-580-1781</v>
          </cell>
          <cell r="Q55" t="str">
            <v>1-6398-00310-84-6</v>
          </cell>
          <cell r="R55" t="str">
            <v>Thai</v>
          </cell>
          <cell r="S55" t="str">
            <v>泰国</v>
          </cell>
          <cell r="T55" t="str">
            <v>ม.6</v>
          </cell>
          <cell r="U55" t="str">
            <v>256 หมู่ที่ 7 ต.มหาวัง อ.แม่สอด จ.ตาก</v>
          </cell>
          <cell r="V55" t="str">
            <v>375/28 ต.มะขามคู่ อ.นิคมพัฒนา จ.ระยอง</v>
          </cell>
          <cell r="W55" t="str">
            <v>รายวัน</v>
          </cell>
          <cell r="X55" t="str">
            <v>在职</v>
          </cell>
        </row>
        <row r="56">
          <cell r="B56">
            <v>67094</v>
          </cell>
          <cell r="C56" t="str">
            <v>นางสาวอรุณธิดา ศรีชมภู</v>
          </cell>
          <cell r="D56" t="str">
            <v>MISS ARUNTIDI  SRICHOMPOO</v>
          </cell>
          <cell r="E56" t="str">
            <v>Female</v>
          </cell>
          <cell r="F56">
            <v>45426</v>
          </cell>
          <cell r="G56">
            <v>45486</v>
          </cell>
          <cell r="H56">
            <v>45516</v>
          </cell>
          <cell r="I56">
            <v>45545</v>
          </cell>
          <cell r="J56" t="str">
            <v>2 ปี 0 เดือน 11 วัน</v>
          </cell>
          <cell r="K56" t="str">
            <v>ตรวจสอบคุณภาพ</v>
          </cell>
          <cell r="L56" t="str">
            <v>检验员QC
เจ้าหน้าที่ QC</v>
          </cell>
          <cell r="M56" t="str">
            <v>Quality</v>
          </cell>
          <cell r="N56">
            <v>37919</v>
          </cell>
          <cell r="O56">
            <v>22</v>
          </cell>
          <cell r="P56" t="str">
            <v>095-370-5563</v>
          </cell>
          <cell r="Q56" t="str">
            <v>1-3489-00069-91-3</v>
          </cell>
          <cell r="R56" t="str">
            <v>ไทย</v>
          </cell>
          <cell r="S56" t="str">
            <v>泰国</v>
          </cell>
          <cell r="T56" t="str">
            <v>ม.6</v>
          </cell>
          <cell r="U56" t="str">
            <v>102/1 หทู่ที่ 1 ต.นาเจริญ อ.เดชอุดม จ.อุบลราชธานี</v>
          </cell>
          <cell r="V56" t="str">
            <v>158/7 หมู่ 2 ต.มะขามคู่ อ.นิคมพัฒนา จ.ระยอง</v>
          </cell>
          <cell r="W56" t="str">
            <v>รายเดือน</v>
          </cell>
          <cell r="X56" t="str">
            <v>在职</v>
          </cell>
        </row>
        <row r="57">
          <cell r="B57">
            <v>67096</v>
          </cell>
          <cell r="C57" t="str">
            <v>นางสาวดวงกมล นันทะกุล</v>
          </cell>
          <cell r="D57" t="str">
            <v>MISS DUANGKAMON NANTHAKUN</v>
          </cell>
          <cell r="E57" t="str">
            <v>Female</v>
          </cell>
          <cell r="F57">
            <v>45426</v>
          </cell>
          <cell r="G57">
            <v>45486</v>
          </cell>
          <cell r="H57">
            <v>45516</v>
          </cell>
          <cell r="I57">
            <v>45545</v>
          </cell>
          <cell r="J57" t="str">
            <v>2 ปี 0 เดือน 11 วัน</v>
          </cell>
          <cell r="K57" t="str">
            <v>ประกอบ</v>
          </cell>
          <cell r="L57" t="str">
            <v>套扣操作工
เจ้าหน้าที่ต๊าปเกลียว</v>
          </cell>
          <cell r="M57" t="str">
            <v>Taping</v>
          </cell>
          <cell r="N57">
            <v>35723</v>
          </cell>
          <cell r="O57">
            <v>28</v>
          </cell>
          <cell r="P57" t="str">
            <v>063-770-6200</v>
          </cell>
          <cell r="Q57" t="str">
            <v>1-4118-00206-56-3</v>
          </cell>
          <cell r="R57" t="str">
            <v>Thai</v>
          </cell>
          <cell r="S57" t="str">
            <v>泰国</v>
          </cell>
          <cell r="T57" t="str">
            <v>ม.6</v>
          </cell>
          <cell r="U57" t="str">
            <v>138 หมู่ที่ 4 ต.นาแค อ.นายูง จ.อุดรธานี</v>
          </cell>
          <cell r="V57" t="str">
            <v>92/1 หมู่ 3 ซ.มาบยางพร 22 ต.มาบยางพร อ.ปลวกแดง จ.ระยอง</v>
          </cell>
          <cell r="W57" t="str">
            <v>รายเดือน</v>
          </cell>
          <cell r="X57" t="str">
            <v>在职</v>
          </cell>
        </row>
        <row r="58">
          <cell r="B58">
            <v>67101</v>
          </cell>
          <cell r="C58" t="str">
            <v>นางสาวขวัญหทัย ช่วยศิริ</v>
          </cell>
          <cell r="D58" t="str">
            <v>MISS KWANHATAI  CHUASIRI</v>
          </cell>
          <cell r="E58" t="str">
            <v>Female</v>
          </cell>
          <cell r="F58">
            <v>45426</v>
          </cell>
          <cell r="G58">
            <v>45486</v>
          </cell>
          <cell r="H58">
            <v>45516</v>
          </cell>
          <cell r="I58">
            <v>45545</v>
          </cell>
          <cell r="J58" t="str">
            <v>2 ปี 0 เดือน 11 วัน</v>
          </cell>
          <cell r="K58" t="str">
            <v>ประกอบ</v>
          </cell>
          <cell r="L58" t="str">
            <v>组装H9
เจ้าหน้าที่ประกอบH9</v>
          </cell>
          <cell r="M58" t="str">
            <v>Assembly</v>
          </cell>
          <cell r="N58">
            <v>33833</v>
          </cell>
          <cell r="O58">
            <v>33</v>
          </cell>
          <cell r="P58" t="str">
            <v>080-816-0370</v>
          </cell>
          <cell r="Q58" t="str">
            <v>1-4109-00093-80-8</v>
          </cell>
          <cell r="R58" t="str">
            <v>Thai</v>
          </cell>
          <cell r="S58" t="str">
            <v>泰国</v>
          </cell>
          <cell r="T58" t="str">
            <v>ม.3</v>
          </cell>
          <cell r="U58" t="str">
            <v>120 หมู่ที่ 8 ต.กุดปลาดุก อ.ชื่อชม จ.มหาสารคาม</v>
          </cell>
          <cell r="V58" t="str">
            <v>159 หมู่ที่ 6 ต.มาบยางพร อ.ปลวกแดง จ.ระยอง</v>
          </cell>
          <cell r="W58" t="str">
            <v>รายวัน</v>
          </cell>
          <cell r="X58" t="str">
            <v>在职</v>
          </cell>
        </row>
        <row r="59">
          <cell r="B59">
            <v>67104</v>
          </cell>
          <cell r="C59" t="str">
            <v>นายบุพกร ดวงจันทร์</v>
          </cell>
          <cell r="D59" t="str">
            <v>MR.BUPHAKORN  DUANGCHAN</v>
          </cell>
          <cell r="E59" t="str">
            <v>Male</v>
          </cell>
          <cell r="F59">
            <v>45427</v>
          </cell>
          <cell r="G59">
            <v>45487</v>
          </cell>
          <cell r="H59">
            <v>45517</v>
          </cell>
          <cell r="I59">
            <v>45546</v>
          </cell>
          <cell r="J59" t="str">
            <v>2 ปี 0 เดือน 10 วัน</v>
          </cell>
          <cell r="K59" t="str">
            <v>ประกอบ</v>
          </cell>
          <cell r="L59" t="str">
            <v>组装H9
เจ้าหน้าที่ประกอบH9</v>
          </cell>
          <cell r="M59" t="str">
            <v>Assembly</v>
          </cell>
          <cell r="N59">
            <v>37110</v>
          </cell>
          <cell r="O59">
            <v>24</v>
          </cell>
          <cell r="P59" t="str">
            <v>065-662-1711</v>
          </cell>
          <cell r="Q59" t="str">
            <v>1-2704-00096-60-5</v>
          </cell>
          <cell r="R59" t="str">
            <v>ไทย</v>
          </cell>
          <cell r="S59" t="str">
            <v>泰国</v>
          </cell>
          <cell r="T59" t="str">
            <v>ปวส.</v>
          </cell>
          <cell r="U59" t="str">
            <v>29 หมู่ที่ 2 ต.ตาหลังใน อ.วังน้ำเย็น จ.สระแก้ว</v>
          </cell>
          <cell r="V59" t="str">
            <v>143/2 ซ.มาบยางพร 18 ต.มาบยางพร อ.ปลวกแดง จ.ระยอง</v>
          </cell>
          <cell r="W59" t="str">
            <v>รายเดือน</v>
          </cell>
          <cell r="X59" t="str">
            <v>在职</v>
          </cell>
        </row>
        <row r="60">
          <cell r="B60">
            <v>67106</v>
          </cell>
          <cell r="C60" t="str">
            <v>นายจักรกฤษ แก้วกาเหรียญ</v>
          </cell>
          <cell r="D60" t="str">
            <v>MR.CHAKRK  KAEOKARIAY</v>
          </cell>
          <cell r="E60" t="str">
            <v>Male</v>
          </cell>
          <cell r="F60">
            <v>45427</v>
          </cell>
          <cell r="G60">
            <v>45487</v>
          </cell>
          <cell r="H60">
            <v>45517</v>
          </cell>
          <cell r="I60">
            <v>45546</v>
          </cell>
          <cell r="J60" t="str">
            <v>2 ปี 0 เดือน 10 วัน</v>
          </cell>
          <cell r="K60" t="str">
            <v>ประกอบ</v>
          </cell>
          <cell r="L60" t="str">
            <v>组装H9
เจ้าหน้าที่ประกอบH9</v>
          </cell>
          <cell r="M60" t="str">
            <v>Assembly</v>
          </cell>
          <cell r="N60">
            <v>35551</v>
          </cell>
          <cell r="O60">
            <v>29</v>
          </cell>
          <cell r="P60" t="str">
            <v>064-651-7086</v>
          </cell>
          <cell r="Q60" t="str">
            <v>1-3214-00005-79-1</v>
          </cell>
          <cell r="R60" t="str">
            <v>ไทย</v>
          </cell>
          <cell r="S60" t="str">
            <v>泰国</v>
          </cell>
          <cell r="T60" t="str">
            <v>ม.3</v>
          </cell>
          <cell r="U60" t="str">
            <v>3 หมู่ที่ 8 ต.โคกกลาง อ.พนมดงรัก จ.สุรินทร์</v>
          </cell>
          <cell r="V60" t="str">
            <v>159 หมู่6 ต.มาบยางพร อ.ปลวกแดง จ.ระยอง</v>
          </cell>
          <cell r="W60" t="str">
            <v>รายเดือน</v>
          </cell>
          <cell r="X60" t="str">
            <v>在职</v>
          </cell>
        </row>
        <row r="61">
          <cell r="B61">
            <v>67108</v>
          </cell>
          <cell r="C61" t="str">
            <v>นางสาวสุดารัตน์ จะยอ</v>
          </cell>
          <cell r="D61" t="str">
            <v>MISS SUDARAT  JAYOR</v>
          </cell>
          <cell r="E61" t="str">
            <v>Female</v>
          </cell>
          <cell r="F61">
            <v>45427</v>
          </cell>
          <cell r="G61">
            <v>45487</v>
          </cell>
          <cell r="H61">
            <v>45517</v>
          </cell>
          <cell r="I61">
            <v>45546</v>
          </cell>
          <cell r="J61" t="str">
            <v>2 ปี 0 เดือน 10 วัน</v>
          </cell>
          <cell r="K61" t="str">
            <v>ประกอบ</v>
          </cell>
          <cell r="L61" t="str">
            <v>组装H9
เจ้าหน้าที่ประกอบH9</v>
          </cell>
          <cell r="M61" t="str">
            <v>Assembly</v>
          </cell>
          <cell r="N61">
            <v>38636</v>
          </cell>
          <cell r="O61">
            <v>20</v>
          </cell>
          <cell r="P61" t="str">
            <v>091-853-6600</v>
          </cell>
          <cell r="Q61" t="str">
            <v>1-3199-01052-77-2</v>
          </cell>
          <cell r="R61" t="str">
            <v>ไทย</v>
          </cell>
          <cell r="S61" t="str">
            <v>泰国</v>
          </cell>
          <cell r="T61" t="str">
            <v>ม.6</v>
          </cell>
          <cell r="U61" t="str">
            <v>98 หมู่ที่ 6 ต.ช่องแมว อ.ลำทะเมนชัย จ.นครราชสีมา</v>
          </cell>
          <cell r="V61" t="str">
            <v>23/5 หมู่ 5 ต.มะขามคู่ อ.นิคมพัฒนา จ.ระยอง</v>
          </cell>
          <cell r="W61" t="str">
            <v>รายเดือน</v>
          </cell>
          <cell r="X61" t="str">
            <v>在职</v>
          </cell>
        </row>
        <row r="62">
          <cell r="B62">
            <v>67111</v>
          </cell>
          <cell r="C62" t="str">
            <v>นายชนาธิป พิมพ์แสง</v>
          </cell>
          <cell r="D62" t="str">
            <v>MR.CHANATHIP  PIMSANG</v>
          </cell>
          <cell r="E62" t="str">
            <v>Male</v>
          </cell>
          <cell r="F62">
            <v>45428</v>
          </cell>
          <cell r="G62">
            <v>45488</v>
          </cell>
          <cell r="H62">
            <v>45518</v>
          </cell>
          <cell r="I62">
            <v>45547</v>
          </cell>
          <cell r="J62" t="str">
            <v>2 ปี 0 เดือน 9 วัน</v>
          </cell>
          <cell r="K62" t="str">
            <v>ประกอบ</v>
          </cell>
          <cell r="L62" t="str">
            <v>组装H9
เจ้าหน้าที่ประกอบH9</v>
          </cell>
          <cell r="M62" t="str">
            <v>Assembly</v>
          </cell>
          <cell r="N62">
            <v>37131</v>
          </cell>
          <cell r="O62">
            <v>24</v>
          </cell>
          <cell r="P62" t="str">
            <v>096-412-1807</v>
          </cell>
          <cell r="Q62" t="str">
            <v>1-4082-00004-35-4</v>
          </cell>
          <cell r="R62" t="str">
            <v>ไทย</v>
          </cell>
          <cell r="S62" t="str">
            <v>泰国</v>
          </cell>
          <cell r="T62" t="str">
            <v>ปวส.</v>
          </cell>
          <cell r="U62" t="str">
            <v>37 หมู่ที่ 13 ต.ดงมูล อ.หนองกุงศรี จ.กาฬสินธุ์</v>
          </cell>
          <cell r="V62" t="str">
            <v>197/4 ต.มาบยางพร อ.ปลวกแดง จ.ระยอง</v>
          </cell>
          <cell r="W62" t="str">
            <v>รายเดือน</v>
          </cell>
          <cell r="X62" t="str">
            <v>在职</v>
          </cell>
        </row>
        <row r="63">
          <cell r="B63">
            <v>67113</v>
          </cell>
          <cell r="C63" t="str">
            <v>นางสาวศศิประภา พันธ์มหา</v>
          </cell>
          <cell r="D63" t="str">
            <v>MISS SIRIPRAPHA  PHANMAHA</v>
          </cell>
          <cell r="E63" t="str">
            <v>Female</v>
          </cell>
          <cell r="F63">
            <v>45432</v>
          </cell>
          <cell r="G63">
            <v>45492</v>
          </cell>
          <cell r="H63">
            <v>45522</v>
          </cell>
          <cell r="I63">
            <v>45551</v>
          </cell>
          <cell r="J63" t="str">
            <v>2 ปี 0 เดือน 5 วัน</v>
          </cell>
          <cell r="K63" t="str">
            <v>คลังสินค้า</v>
          </cell>
          <cell r="L63" t="str">
            <v>挑选
เจ้าหน้าที่คัดงาน</v>
          </cell>
          <cell r="M63" t="str">
            <v>Warehouse</v>
          </cell>
          <cell r="N63">
            <v>37386</v>
          </cell>
          <cell r="O63">
            <v>24</v>
          </cell>
          <cell r="P63" t="str">
            <v>098-035-0900</v>
          </cell>
          <cell r="Q63" t="str">
            <v>2-4305-01046-00-6</v>
          </cell>
          <cell r="R63" t="str">
            <v>Thai</v>
          </cell>
          <cell r="S63" t="str">
            <v>泰国</v>
          </cell>
          <cell r="T63" t="str">
            <v>ม.3</v>
          </cell>
          <cell r="U63" t="str">
            <v>16 หมู่ที่ 9 ต.กุดบง อ.โพนพิสัย จ.หนองคาย</v>
          </cell>
          <cell r="V63" t="str">
            <v>543/6 หมู่ที่ 1 ต.ปลวกแดง อ.ปลวกแดง จ.ระยอง 21140</v>
          </cell>
          <cell r="W63" t="str">
            <v>รายวัน</v>
          </cell>
          <cell r="X63" t="str">
            <v>在职</v>
          </cell>
        </row>
        <row r="64">
          <cell r="B64">
            <v>67117</v>
          </cell>
          <cell r="C64" t="str">
            <v>นายธนวัฒน์ นาเย</v>
          </cell>
          <cell r="D64" t="str">
            <v>MR.THANAWAT  NAYE</v>
          </cell>
          <cell r="E64" t="str">
            <v>Male</v>
          </cell>
          <cell r="F64">
            <v>45432</v>
          </cell>
          <cell r="G64">
            <v>45492</v>
          </cell>
          <cell r="H64">
            <v>45522</v>
          </cell>
          <cell r="I64">
            <v>45551</v>
          </cell>
          <cell r="J64" t="str">
            <v>2 ปี 0 เดือน 5 วัน</v>
          </cell>
          <cell r="K64" t="str">
            <v>คลังสินค้า</v>
          </cell>
          <cell r="L64" t="str">
            <v>仓库管理员
เจ้าหน้าที่คลังสินค้า</v>
          </cell>
          <cell r="M64" t="str">
            <v>Warehouse</v>
          </cell>
          <cell r="N64">
            <v>37762</v>
          </cell>
          <cell r="O64">
            <v>23</v>
          </cell>
          <cell r="P64" t="str">
            <v>083-603-4858</v>
          </cell>
          <cell r="Q64" t="str">
            <v>1-5710-01146-74-7</v>
          </cell>
          <cell r="R64" t="str">
            <v>ไทย</v>
          </cell>
          <cell r="S64" t="str">
            <v>泰国</v>
          </cell>
          <cell r="T64" t="str">
            <v>ม.3</v>
          </cell>
          <cell r="U64" t="str">
            <v>165 หมู่ที่ 12 ต.วาวี อ.แม่สรวย จ.เชียงราย</v>
          </cell>
          <cell r="V64" t="str">
            <v>113/5 ม.2 ต.มะขามคู่ อ. นิคมพัฒนา จ.ระยอง</v>
          </cell>
          <cell r="W64" t="str">
            <v>รายเดือน</v>
          </cell>
          <cell r="X64" t="str">
            <v>在职</v>
          </cell>
        </row>
        <row r="65">
          <cell r="B65">
            <v>67118</v>
          </cell>
          <cell r="C65" t="str">
            <v>นางสาวขัตติยา พวงลอย</v>
          </cell>
          <cell r="D65" t="str">
            <v>MISS KHATTIYA  PHUANGLOY</v>
          </cell>
          <cell r="E65" t="str">
            <v>Female</v>
          </cell>
          <cell r="F65">
            <v>45433</v>
          </cell>
          <cell r="G65">
            <v>45493</v>
          </cell>
          <cell r="H65">
            <v>45523</v>
          </cell>
          <cell r="I65">
            <v>45552</v>
          </cell>
          <cell r="J65" t="str">
            <v>2 ปี 0 เดือน 4 วัน</v>
          </cell>
          <cell r="K65" t="str">
            <v>บริหารและวางแผนการผลิต</v>
          </cell>
          <cell r="L65" t="str">
            <v>计划员（中文）
เจ้าหน้าที่วางแผนการผลิต(ภาษาจีน)</v>
          </cell>
          <cell r="M65" t="str">
            <v>Production Management and Planning</v>
          </cell>
          <cell r="N65">
            <v>37153</v>
          </cell>
          <cell r="O65">
            <v>24</v>
          </cell>
          <cell r="P65" t="str">
            <v>062-549-4660</v>
          </cell>
          <cell r="Q65" t="str">
            <v>1-4083-00001-28-4</v>
          </cell>
          <cell r="R65" t="str">
            <v>ไทย</v>
          </cell>
          <cell r="S65" t="str">
            <v>泰国</v>
          </cell>
          <cell r="T65" t="str">
            <v>ปริญญาตรี</v>
          </cell>
          <cell r="U65" t="str">
            <v>365 หมู่ที่ 11 ต.วังชัย อ.น้ำพอง จ.ขอนแก่น</v>
          </cell>
          <cell r="V65" t="str">
            <v>321/1 ม.6 ต.ปลวกแดง อ.ปลวกแดง จ.ระยอง 21140</v>
          </cell>
          <cell r="W65" t="str">
            <v>รายเดือน</v>
          </cell>
          <cell r="X65" t="str">
            <v>在职</v>
          </cell>
        </row>
        <row r="66">
          <cell r="B66">
            <v>67124</v>
          </cell>
          <cell r="C66" t="str">
            <v>นายสาธิต จรดเมฆ</v>
          </cell>
          <cell r="D66" t="str">
            <v>MR.SATIT  JARODMEK</v>
          </cell>
          <cell r="E66" t="str">
            <v>Male</v>
          </cell>
          <cell r="F66">
            <v>45441</v>
          </cell>
          <cell r="G66">
            <v>45501</v>
          </cell>
          <cell r="H66">
            <v>45531</v>
          </cell>
          <cell r="I66">
            <v>45560</v>
          </cell>
          <cell r="J66" t="str">
            <v>1 ปี 11 เดือน 26 วัน</v>
          </cell>
          <cell r="K66" t="str">
            <v>ประกอบ</v>
          </cell>
          <cell r="L66" t="str">
            <v>组装H9
เจ้าหน้าที่ประกอบH9</v>
          </cell>
          <cell r="M66" t="str">
            <v>Assembly</v>
          </cell>
          <cell r="N66">
            <v>37701</v>
          </cell>
          <cell r="O66">
            <v>23</v>
          </cell>
          <cell r="P66" t="str">
            <v>082-005-8439</v>
          </cell>
          <cell r="Q66" t="str">
            <v>1-5019-01111-46-0</v>
          </cell>
          <cell r="R66" t="str">
            <v>ไทย</v>
          </cell>
          <cell r="S66" t="str">
            <v>泰国</v>
          </cell>
          <cell r="T66" t="str">
            <v>ม.3</v>
          </cell>
          <cell r="U66" t="str">
            <v>327 หมู่ที่ 12 ต.วาวี อ.แม่สรวย จ.เชียงราย</v>
          </cell>
          <cell r="V66" t="str">
            <v>434/21 ซ.ตาเที่ยง ต.มะขามคู่ อ.นิคมพัฒนา จ.ระยอง 21180</v>
          </cell>
          <cell r="W66" t="str">
            <v>รายเดือน</v>
          </cell>
          <cell r="X66" t="str">
            <v>在职</v>
          </cell>
        </row>
        <row r="67">
          <cell r="B67">
            <v>67126</v>
          </cell>
          <cell r="C67" t="str">
            <v>นายวรรณลพ  สีสงัด</v>
          </cell>
          <cell r="D67" t="str">
            <v>MR.WANLOP  SEESANGAT</v>
          </cell>
          <cell r="E67" t="str">
            <v>Male</v>
          </cell>
          <cell r="F67">
            <v>45441</v>
          </cell>
          <cell r="G67">
            <v>45501</v>
          </cell>
          <cell r="H67">
            <v>45531</v>
          </cell>
          <cell r="I67">
            <v>45560</v>
          </cell>
          <cell r="J67" t="str">
            <v>1 ปี 11 เดือน 26 วัน</v>
          </cell>
          <cell r="K67" t="str">
            <v>คลังสินค้า</v>
          </cell>
          <cell r="L67" t="str">
            <v>仓库管理员
เจ้าหน้าที่คลังสินค้า</v>
          </cell>
          <cell r="M67" t="str">
            <v>Warehouse</v>
          </cell>
          <cell r="N67">
            <v>36054</v>
          </cell>
          <cell r="O67">
            <v>27</v>
          </cell>
          <cell r="P67" t="str">
            <v>098-235-2734</v>
          </cell>
          <cell r="Q67" t="str">
            <v>1-4406-00263-76-7</v>
          </cell>
          <cell r="R67" t="str">
            <v>ไทย</v>
          </cell>
          <cell r="S67" t="str">
            <v>泰国</v>
          </cell>
          <cell r="T67" t="str">
            <v>ม.6</v>
          </cell>
          <cell r="U67" t="str">
            <v>42 หมู่ที่ 20 ต.หนองจิก อ.บรบือ จ.มหาสารคาม</v>
          </cell>
          <cell r="V67" t="str">
            <v>47/1 หมู่ 4 ห้างแก้วซอย 1 ต.มาบยางพร อ.ปลวกแดง จ.ระยอง 21140</v>
          </cell>
          <cell r="W67" t="str">
            <v>รายเดือน</v>
          </cell>
          <cell r="X67" t="str">
            <v>在职</v>
          </cell>
        </row>
        <row r="68">
          <cell r="B68">
            <v>67130</v>
          </cell>
          <cell r="C68" t="str">
            <v>นางสาวเกษศิรินทร์ บุตรชน</v>
          </cell>
          <cell r="D68" t="str">
            <v>MISS KERSIRIN  BUTCHON</v>
          </cell>
          <cell r="E68" t="str">
            <v>Female</v>
          </cell>
          <cell r="F68">
            <v>45460</v>
          </cell>
          <cell r="G68">
            <v>45520</v>
          </cell>
          <cell r="H68">
            <v>45550</v>
          </cell>
          <cell r="I68">
            <v>45579</v>
          </cell>
          <cell r="J68" t="str">
            <v>1 ปี 11 เดือน 8 วัน</v>
          </cell>
          <cell r="K68" t="str">
            <v>บริหารและวางแผนการผลิต</v>
          </cell>
          <cell r="L68" t="str">
            <v>采购专员 เจ้าหน้าที่จัดซื้อ</v>
          </cell>
          <cell r="M68" t="str">
            <v>Purchase</v>
          </cell>
          <cell r="N68">
            <v>37326</v>
          </cell>
          <cell r="O68">
            <v>24</v>
          </cell>
          <cell r="P68" t="str">
            <v>065-034-2346</v>
          </cell>
          <cell r="Q68" t="str">
            <v>1-45990-0904-00-6</v>
          </cell>
          <cell r="R68" t="str">
            <v>ไทย</v>
          </cell>
          <cell r="S68" t="str">
            <v>泰国</v>
          </cell>
          <cell r="T68" t="str">
            <v>ปริญญาตรี</v>
          </cell>
          <cell r="U68" t="str">
            <v>39/1 หมู่ที่ 7 ต.เมืองทอง อ.เมืองร้อยเอ็ด จ.ร้อยเอ็ด</v>
          </cell>
          <cell r="V68" t="str">
            <v>321/1 ม.6 ต.ปลวกแดง อ.ปลวกแดง จ.ระยอง 21140</v>
          </cell>
          <cell r="W68" t="str">
            <v>รายเดือน</v>
          </cell>
          <cell r="X68" t="str">
            <v>在职</v>
          </cell>
        </row>
        <row r="69">
          <cell r="B69">
            <v>67134</v>
          </cell>
          <cell r="C69" t="str">
            <v>นายทัพพสาร เม้าชุมแสง</v>
          </cell>
          <cell r="D69" t="str">
            <v>MR.TAPPASAR MAOCHUMSAENG</v>
          </cell>
          <cell r="E69" t="str">
            <v>Male</v>
          </cell>
          <cell r="F69">
            <v>45477</v>
          </cell>
          <cell r="G69">
            <v>45537</v>
          </cell>
          <cell r="H69">
            <v>45567</v>
          </cell>
          <cell r="I69">
            <v>45596</v>
          </cell>
          <cell r="J69" t="str">
            <v>1 ปี 10 เดือน 21 วัน</v>
          </cell>
          <cell r="K69" t="str">
            <v>คลังสินค้า</v>
          </cell>
          <cell r="L69" t="str">
            <v>仓库管理员(开叉车)
คลังสินค้า (ขับโฟร์คลิฟทฺ)</v>
          </cell>
          <cell r="M69" t="str">
            <v>Warehouse</v>
          </cell>
          <cell r="N69">
            <v>35689</v>
          </cell>
          <cell r="O69">
            <v>28</v>
          </cell>
          <cell r="P69" t="str">
            <v>081-139-2920</v>
          </cell>
          <cell r="Q69" t="str">
            <v>1-2097-01776-36-1</v>
          </cell>
          <cell r="R69" t="str">
            <v>ไทย</v>
          </cell>
          <cell r="S69" t="str">
            <v>泰国</v>
          </cell>
          <cell r="T69" t="str">
            <v>ม.6</v>
          </cell>
          <cell r="U69" t="str">
            <v>102 หมู่ที่ 5 ต.หนองแวง อ.ละหานทราย จ.บุรีรัมย์</v>
          </cell>
          <cell r="V69" t="str">
            <v>12/78 ม.3 ซ.มาบยางพร 42 ต.มาบยางพร อ.ปลวกแดง จ.ระยอง 21140</v>
          </cell>
          <cell r="W69" t="str">
            <v>รายเดือน</v>
          </cell>
          <cell r="X69" t="str">
            <v>在职</v>
          </cell>
        </row>
        <row r="70">
          <cell r="B70">
            <v>67138</v>
          </cell>
          <cell r="C70" t="str">
            <v>นายนที มหายศนันท์</v>
          </cell>
          <cell r="D70" t="str">
            <v>MR.NATEE MAHAYOSNAN</v>
          </cell>
          <cell r="E70" t="str">
            <v>Male</v>
          </cell>
          <cell r="F70">
            <v>45495</v>
          </cell>
          <cell r="G70">
            <v>45555</v>
          </cell>
          <cell r="H70">
            <v>45585</v>
          </cell>
          <cell r="I70">
            <v>45614</v>
          </cell>
          <cell r="J70" t="str">
            <v>1 ปี 10 เดือน 3 วัน</v>
          </cell>
          <cell r="K70" t="str">
            <v>คลังสินค้า</v>
          </cell>
          <cell r="L70" t="str">
            <v>หัวหน้าคลังสินค้า</v>
          </cell>
          <cell r="M70" t="str">
            <v>Warehouse</v>
          </cell>
          <cell r="N70">
            <v>29791</v>
          </cell>
          <cell r="O70">
            <v>44</v>
          </cell>
          <cell r="P70" t="str">
            <v>081-160-0116</v>
          </cell>
          <cell r="Q70" t="str">
            <v>3-5506-00032-5-15</v>
          </cell>
          <cell r="R70" t="str">
            <v>ไทย</v>
          </cell>
          <cell r="S70" t="str">
            <v>泰国</v>
          </cell>
          <cell r="T70" t="str">
            <v>ปริญญาตรี</v>
          </cell>
          <cell r="U70" t="str">
            <v>105 หมู่ที่ 3 ต.ท่าวังผา อ.ท่าวังผา จ.น่าน</v>
          </cell>
          <cell r="V70" t="str">
            <v>88/695 ม.4 ต.มาบยางพร อ.ปลวกแดง จ.ระยอง 21140</v>
          </cell>
          <cell r="W70" t="str">
            <v>รายเดือน</v>
          </cell>
          <cell r="X70" t="str">
            <v>在职</v>
          </cell>
        </row>
        <row r="71">
          <cell r="B71">
            <v>67139</v>
          </cell>
          <cell r="C71" t="str">
            <v>นายรัฐกร หมื่นสา</v>
          </cell>
          <cell r="D71" t="str">
            <v>MR.RATTHAKON MUENSA</v>
          </cell>
          <cell r="E71" t="str">
            <v>Male</v>
          </cell>
          <cell r="F71">
            <v>45495</v>
          </cell>
          <cell r="G71">
            <v>45555</v>
          </cell>
          <cell r="H71">
            <v>45585</v>
          </cell>
          <cell r="I71">
            <v>45614</v>
          </cell>
          <cell r="J71" t="str">
            <v>1 ปี 10 เดือน 3 วัน</v>
          </cell>
          <cell r="K71" t="str">
            <v>พ่นสี</v>
          </cell>
          <cell r="L71" t="str">
            <v>เจ้าหน้าที่พ่นสี     喷涂</v>
          </cell>
          <cell r="M71" t="str">
            <v>Coating</v>
          </cell>
          <cell r="N71">
            <v>36569</v>
          </cell>
          <cell r="O71">
            <v>26</v>
          </cell>
          <cell r="P71" t="str">
            <v>061-483-7558</v>
          </cell>
          <cell r="Q71" t="str">
            <v>1-4406-01297-99-1</v>
          </cell>
          <cell r="R71" t="str">
            <v>ไทย</v>
          </cell>
          <cell r="S71" t="str">
            <v>泰国</v>
          </cell>
          <cell r="T71" t="str">
            <v>ปวส.</v>
          </cell>
          <cell r="U71" t="str">
            <v>124 หมู่ที่ 1 ต.หนองคูขาด อ.บรบือ จ.มหาสารคาม</v>
          </cell>
          <cell r="V71" t="str">
            <v>140/3 หมู่ 6 ต.มาบยางพร อ.ปลวกแดง จ.ระยอง</v>
          </cell>
          <cell r="W71" t="str">
            <v>รายเดือน</v>
          </cell>
          <cell r="X71" t="str">
            <v>在职</v>
          </cell>
        </row>
        <row r="72">
          <cell r="B72">
            <v>67143</v>
          </cell>
          <cell r="C72" t="str">
            <v>นายวรรณกร ทองดีมีศรี</v>
          </cell>
          <cell r="D72" t="str">
            <v>MR.WANNAKORN TONGDEEMEESRI</v>
          </cell>
          <cell r="E72" t="str">
            <v>Male</v>
          </cell>
          <cell r="F72">
            <v>45509</v>
          </cell>
          <cell r="G72">
            <v>45569</v>
          </cell>
          <cell r="H72">
            <v>45599</v>
          </cell>
          <cell r="I72">
            <v>45628</v>
          </cell>
          <cell r="J72" t="str">
            <v>1 ปี 9 เดือน 20 วัน</v>
          </cell>
          <cell r="K72" t="str">
            <v>ซ่อมบำรุง</v>
          </cell>
          <cell r="L72" t="str">
            <v>Assembly Maintenance Leader</v>
          </cell>
          <cell r="M72" t="str">
            <v>Equipment</v>
          </cell>
          <cell r="N72">
            <v>35092</v>
          </cell>
          <cell r="O72">
            <v>30</v>
          </cell>
          <cell r="P72" t="str">
            <v>095-761-0920</v>
          </cell>
          <cell r="Q72" t="str">
            <v>1-4704-00196-65-9</v>
          </cell>
          <cell r="R72" t="str">
            <v>ไทย</v>
          </cell>
          <cell r="S72" t="str">
            <v>泰国</v>
          </cell>
          <cell r="T72" t="str">
            <v>ม.3</v>
          </cell>
          <cell r="U72" t="str">
            <v>62 หมู่ที่ 7 ต.ลำสมพุง อ.มวกเหล็ก จ.สระบุรี</v>
          </cell>
          <cell r="V72" t="str">
            <v>575/27 ม.4 ซอย 14  ต.พนานิคม  อ.นิคมพัฒนา  จ.ระยอง</v>
          </cell>
          <cell r="W72" t="str">
            <v>รายเดือน</v>
          </cell>
          <cell r="X72" t="str">
            <v>在职</v>
          </cell>
        </row>
        <row r="73">
          <cell r="B73">
            <v>67148</v>
          </cell>
          <cell r="C73" t="str">
            <v>นางสาวนิตยา แซ่กือ</v>
          </cell>
          <cell r="D73" t="str">
            <v>MISS NITAYA SAEKUE</v>
          </cell>
          <cell r="E73" t="str">
            <v>Female</v>
          </cell>
          <cell r="F73">
            <v>45525</v>
          </cell>
          <cell r="G73">
            <v>45585</v>
          </cell>
          <cell r="H73">
            <v>45615</v>
          </cell>
          <cell r="I73">
            <v>45644</v>
          </cell>
          <cell r="J73" t="str">
            <v>1 ปี 9 เดือน 4 วัน</v>
          </cell>
          <cell r="K73" t="str">
            <v>คลังสินค้า</v>
          </cell>
          <cell r="L73" t="str">
            <v>仓库管理员
เจ้าหน้าที่คลังสินค้า</v>
          </cell>
          <cell r="M73" t="str">
            <v>Warehouse</v>
          </cell>
          <cell r="N73">
            <v>38099</v>
          </cell>
          <cell r="O73">
            <v>22</v>
          </cell>
          <cell r="P73" t="str">
            <v>095-358-0780</v>
          </cell>
          <cell r="Q73" t="str">
            <v>1-63980-0327-87-1</v>
          </cell>
          <cell r="R73" t="str">
            <v>ไทย</v>
          </cell>
          <cell r="S73" t="str">
            <v>泰国</v>
          </cell>
          <cell r="T73" t="str">
            <v>ม.6</v>
          </cell>
          <cell r="U73" t="str">
            <v>160 หมู่ 10 ต.มหาวัน อ.แม่สอด จ.ตาก</v>
          </cell>
          <cell r="V73" t="str">
            <v>375/27 หมู่ 2 ต.มะขามคู่ อ.นิคมพัฒนา จ.ระยอง</v>
          </cell>
          <cell r="W73" t="str">
            <v>รายเดือน</v>
          </cell>
          <cell r="X73" t="str">
            <v>在职</v>
          </cell>
        </row>
        <row r="74">
          <cell r="B74">
            <v>67150</v>
          </cell>
          <cell r="C74" t="str">
            <v>นายธรรมนูญ ขุนทอง</v>
          </cell>
          <cell r="D74" t="str">
            <v>MR.THAMMANOON KHUNTHONG</v>
          </cell>
          <cell r="E74" t="str">
            <v>Male</v>
          </cell>
          <cell r="F74">
            <v>45556</v>
          </cell>
          <cell r="G74">
            <v>45616</v>
          </cell>
          <cell r="H74">
            <v>45646</v>
          </cell>
          <cell r="I74">
            <v>45675</v>
          </cell>
          <cell r="J74" t="str">
            <v>1 ปี 8 เดือน 4 วัน</v>
          </cell>
          <cell r="K74" t="str">
            <v>ตรวจสอบคุณภาพ</v>
          </cell>
          <cell r="L74" t="str">
            <v>QC Sub Leader</v>
          </cell>
          <cell r="M74" t="str">
            <v>Quality</v>
          </cell>
          <cell r="N74">
            <v>36873</v>
          </cell>
          <cell r="O74">
            <v>25</v>
          </cell>
          <cell r="P74" t="str">
            <v>099-8720675</v>
          </cell>
          <cell r="Q74" t="str">
            <v>1-4305-01460-31-9</v>
          </cell>
          <cell r="R74" t="str">
            <v>Thai</v>
          </cell>
          <cell r="S74" t="str">
            <v>泰国</v>
          </cell>
          <cell r="T74" t="str">
            <v>ม.6</v>
          </cell>
          <cell r="U74" t="str">
            <v>87 หมู่ 12 ต.จุมพล อ.โพนพิสัย จ.หนองคาย</v>
          </cell>
          <cell r="V74" t="str">
            <v>549/6 หมู่ 1  ต.ปลวกแดง อ.ปลวกแดง จ.ระยอง 21140</v>
          </cell>
          <cell r="W74" t="str">
            <v>รายเดือน</v>
          </cell>
          <cell r="X74" t="str">
            <v>在职</v>
          </cell>
        </row>
        <row r="75">
          <cell r="B75">
            <v>67151</v>
          </cell>
          <cell r="C75" t="str">
            <v>นายเสกสรร อินสอน</v>
          </cell>
          <cell r="D75" t="str">
            <v>MR. SEKSAN INSORN</v>
          </cell>
          <cell r="E75" t="str">
            <v>Male</v>
          </cell>
          <cell r="F75">
            <v>45556</v>
          </cell>
          <cell r="G75">
            <v>45616</v>
          </cell>
          <cell r="H75">
            <v>45646</v>
          </cell>
          <cell r="I75">
            <v>45675</v>
          </cell>
          <cell r="J75" t="str">
            <v>1 ปี 8 เดือน 4 วัน</v>
          </cell>
          <cell r="K75" t="str">
            <v>คลังสินค้า</v>
          </cell>
          <cell r="L75" t="str">
            <v>挑选
เจ้าหน้าที่คัดงาน</v>
          </cell>
          <cell r="M75" t="str">
            <v>Warehouse</v>
          </cell>
          <cell r="N75">
            <v>34567</v>
          </cell>
          <cell r="O75">
            <v>31</v>
          </cell>
          <cell r="P75" t="str">
            <v>083-250-5901</v>
          </cell>
          <cell r="Q75" t="str">
            <v>1-3410-00165-44-8</v>
          </cell>
          <cell r="R75" t="str">
            <v>Thai</v>
          </cell>
          <cell r="S75" t="str">
            <v>泰国</v>
          </cell>
          <cell r="T75" t="str">
            <v>ม.3</v>
          </cell>
          <cell r="U75" t="str">
            <v>12 หมู่ 7 ต.หนองสะโน อ.บุณฑริก จ.อุบลราชธานี</v>
          </cell>
          <cell r="V75" t="str">
            <v>98/81 หมู่ 3 ต.มาบยางพร อ.ปลวกแดง จ.ระยอง 21140</v>
          </cell>
          <cell r="W75" t="str">
            <v>รายเดือน</v>
          </cell>
          <cell r="X75" t="str">
            <v>在职</v>
          </cell>
        </row>
        <row r="76">
          <cell r="B76">
            <v>67153</v>
          </cell>
          <cell r="C76" t="str">
            <v>นายวรวิทย์ คำลือชัย</v>
          </cell>
          <cell r="D76" t="str">
            <v>MR.WORAWIT KUMLEUCHAI</v>
          </cell>
          <cell r="E76" t="str">
            <v>Male</v>
          </cell>
          <cell r="F76">
            <v>45566</v>
          </cell>
          <cell r="G76">
            <v>45626</v>
          </cell>
          <cell r="H76">
            <v>45656</v>
          </cell>
          <cell r="I76">
            <v>45685</v>
          </cell>
          <cell r="J76" t="str">
            <v>1 ปี 7 เดือน 24 วัน</v>
          </cell>
          <cell r="K76" t="str">
            <v>ซ่อมบำรุง</v>
          </cell>
          <cell r="L76" t="str">
            <v>Assembly Maintenance Leader</v>
          </cell>
          <cell r="M76" t="str">
            <v>Equipment</v>
          </cell>
          <cell r="N76">
            <v>31301</v>
          </cell>
          <cell r="O76">
            <v>40</v>
          </cell>
          <cell r="P76">
            <v>823138456</v>
          </cell>
          <cell r="Q76" t="str">
            <v>1-49050-0024-80-9</v>
          </cell>
          <cell r="R76" t="str">
            <v>Thai</v>
          </cell>
          <cell r="S76" t="str">
            <v>泰国</v>
          </cell>
          <cell r="T76" t="str">
            <v>ปวส.</v>
          </cell>
          <cell r="U76" t="str">
            <v>67 หมู่ที่ 5 ต.บ้านค้อ อ.คำชะอี จ.มุกดาหาร</v>
          </cell>
          <cell r="V76" t="str">
            <v>64/4 ต.พนานิคม อ.นิคมพัฒนา จ.ระยอง</v>
          </cell>
          <cell r="W76" t="str">
            <v>รายเดือน</v>
          </cell>
          <cell r="X76" t="str">
            <v>在职</v>
          </cell>
        </row>
        <row r="77">
          <cell r="B77">
            <v>67156</v>
          </cell>
          <cell r="C77" t="str">
            <v>นายอภิวัฒน์ สุทธสิงห์</v>
          </cell>
          <cell r="D77" t="str">
            <v>MR.APHIWAT SUTTASING</v>
          </cell>
          <cell r="E77" t="str">
            <v>Male</v>
          </cell>
          <cell r="F77">
            <v>45582</v>
          </cell>
          <cell r="G77">
            <v>45642</v>
          </cell>
          <cell r="H77">
            <v>45672</v>
          </cell>
          <cell r="I77">
            <v>45701</v>
          </cell>
          <cell r="J77" t="str">
            <v>1 ปี 7 เดือน 8 วัน</v>
          </cell>
          <cell r="K77" t="str">
            <v>คลังสินค้า</v>
          </cell>
          <cell r="L77" t="str">
            <v>仓库管理员
คลังสินค้า (ขับโฟร์คลิฟทฺ)</v>
          </cell>
          <cell r="M77" t="str">
            <v>Warehouse</v>
          </cell>
          <cell r="N77">
            <v>36686</v>
          </cell>
          <cell r="O77">
            <v>25</v>
          </cell>
          <cell r="P77">
            <v>927039222</v>
          </cell>
          <cell r="Q77" t="str">
            <v>1-3106-00306-59-9</v>
          </cell>
          <cell r="R77" t="str">
            <v>Thai</v>
          </cell>
          <cell r="S77" t="str">
            <v>泰国</v>
          </cell>
          <cell r="T77" t="str">
            <v>ม.6</v>
          </cell>
          <cell r="U77" t="str">
            <v>276/1 หมู่ที่ 10 ต.หนองตะครอง อ.ละหานทราย จ.บุรีรัมย์</v>
          </cell>
          <cell r="V77" t="str">
            <v>134 หมู่ที่ 4 ต.มาบยางพร อ.ปลวกแดง จ.ระยอง</v>
          </cell>
          <cell r="W77" t="str">
            <v>รายเดือน</v>
          </cell>
          <cell r="X77" t="str">
            <v>在职</v>
          </cell>
        </row>
        <row r="78">
          <cell r="B78">
            <v>67160</v>
          </cell>
          <cell r="C78" t="str">
            <v>นายวรรณธนะ  ผูกฟัก</v>
          </cell>
          <cell r="D78" t="str">
            <v>MR.WANTANA PHOOKFAK</v>
          </cell>
          <cell r="E78" t="str">
            <v>Male</v>
          </cell>
          <cell r="F78">
            <v>45632</v>
          </cell>
          <cell r="G78">
            <v>45692</v>
          </cell>
          <cell r="H78">
            <v>45722</v>
          </cell>
          <cell r="I78">
            <v>45751</v>
          </cell>
          <cell r="J78" t="str">
            <v>1 ปี 5 เดือน 19 วัน</v>
          </cell>
          <cell r="K78" t="str">
            <v>ซ่อมบำรุง</v>
          </cell>
          <cell r="L78" t="str">
            <v>หัวหน้าฝ่ายซ่อมบำรุง
Maintenance Leader</v>
          </cell>
          <cell r="M78" t="str">
            <v>Equipment</v>
          </cell>
          <cell r="N78">
            <v>36324</v>
          </cell>
          <cell r="O78">
            <v>26</v>
          </cell>
          <cell r="P78">
            <v>809577370</v>
          </cell>
          <cell r="Q78" t="str">
            <v>1-6702-00222-29-8</v>
          </cell>
          <cell r="R78" t="str">
            <v>Thai</v>
          </cell>
          <cell r="S78" t="str">
            <v>泰国</v>
          </cell>
          <cell r="T78" t="str">
            <v>ปวส.</v>
          </cell>
          <cell r="U78" t="str">
            <v>82 หมู่6 ต.ลาดแค อ.ชนแดน จ.เพชรบูรณ์</v>
          </cell>
          <cell r="V78" t="str">
            <v>ห้อง 5 14/15 หมู่8 ต.พนานิคม อ.นิคมพัฒนา จ.ระยอง 21180</v>
          </cell>
          <cell r="W78" t="str">
            <v>รายเดือน</v>
          </cell>
          <cell r="X78" t="str">
            <v>在职</v>
          </cell>
        </row>
        <row r="79">
          <cell r="B79">
            <v>67161</v>
          </cell>
          <cell r="C79" t="str">
            <v>นางสาวดวงนภา สุวรรณภักดี</v>
          </cell>
          <cell r="D79" t="str">
            <v>MISS DUANGNAPA SUWANNAPAKDEE</v>
          </cell>
          <cell r="E79" t="str">
            <v>Female</v>
          </cell>
          <cell r="F79">
            <v>45642</v>
          </cell>
          <cell r="G79">
            <v>45702</v>
          </cell>
          <cell r="H79">
            <v>45732</v>
          </cell>
          <cell r="I79">
            <v>45761</v>
          </cell>
          <cell r="J79" t="str">
            <v>1 ปี 5 เดือน 9 วัน</v>
          </cell>
          <cell r="K79" t="str">
            <v>ตรวจสอบคุณภาพ</v>
          </cell>
          <cell r="L79" t="str">
            <v>Deputy Quality Manager</v>
          </cell>
          <cell r="M79" t="str">
            <v>Quality</v>
          </cell>
          <cell r="N79">
            <v>33295</v>
          </cell>
          <cell r="O79">
            <v>35</v>
          </cell>
          <cell r="P79" t="str">
            <v>093-134-0179</v>
          </cell>
          <cell r="Q79" t="str">
            <v>1-4999-00115-07-9</v>
          </cell>
          <cell r="R79" t="str">
            <v>Thai</v>
          </cell>
          <cell r="S79" t="str">
            <v>泰国</v>
          </cell>
          <cell r="T79" t="str">
            <v>ปริญญาตรี</v>
          </cell>
          <cell r="U79" t="str">
            <v>199/32 ต.บ่อวิน อ.ศรีราชา จ.ชลบุรี</v>
          </cell>
          <cell r="V79" t="str">
            <v>199/33 ต.บ่อวิน อ.ศรีราชา จ.ชลบุรี</v>
          </cell>
          <cell r="W79" t="str">
            <v>รายเดือน</v>
          </cell>
          <cell r="X79" t="str">
            <v>在职</v>
          </cell>
        </row>
        <row r="80">
          <cell r="B80">
            <v>68001</v>
          </cell>
          <cell r="C80" t="str">
            <v>นายณัฐภัทร  นามสุโพธิ์</v>
          </cell>
          <cell r="D80" t="str">
            <v>MR.NADTAPAT  NAMSUPO</v>
          </cell>
          <cell r="E80" t="str">
            <v>Male</v>
          </cell>
          <cell r="F80">
            <v>45665</v>
          </cell>
          <cell r="G80">
            <v>45725</v>
          </cell>
          <cell r="H80">
            <v>45755</v>
          </cell>
          <cell r="I80">
            <v>45784</v>
          </cell>
          <cell r="J80" t="str">
            <v>1 ปี 4 เดือน 17 วัน</v>
          </cell>
          <cell r="K80" t="str">
            <v>ประกอบ</v>
          </cell>
          <cell r="L80" t="str">
            <v>组装H9
เจ้าหน้าที่ประกอบH9</v>
          </cell>
          <cell r="M80" t="str">
            <v>Assembly</v>
          </cell>
          <cell r="N80">
            <v>39078</v>
          </cell>
          <cell r="O80">
            <v>19</v>
          </cell>
          <cell r="P80" t="str">
            <v>092-427-6488</v>
          </cell>
          <cell r="Q80" t="str">
            <v>1-7306-01291-24-9</v>
          </cell>
          <cell r="R80" t="str">
            <v>Thai</v>
          </cell>
          <cell r="S80" t="str">
            <v>泰国</v>
          </cell>
          <cell r="T80" t="str">
            <v>ม.3</v>
          </cell>
          <cell r="U80" t="str">
            <v>42 หมู่ 6 ต.วังโป่ง อ.วังโป่ง จ.เพชรบูรณ์</v>
          </cell>
          <cell r="V80" t="str">
            <v>42 หมู่ 7 ต.วังโป่ง อ.วังโป่ง จ.เพชรบูรณ์</v>
          </cell>
          <cell r="W80" t="str">
            <v>รายเดือน</v>
          </cell>
          <cell r="X80" t="str">
            <v>在职</v>
          </cell>
        </row>
        <row r="81">
          <cell r="B81">
            <v>68004</v>
          </cell>
          <cell r="C81" t="str">
            <v>นางสาวกนกวรรณ  ศักเหลา</v>
          </cell>
          <cell r="D81" t="str">
            <v>MISS.KANOKWAN  SAKLAO</v>
          </cell>
          <cell r="E81" t="str">
            <v>Female</v>
          </cell>
          <cell r="F81">
            <v>45670</v>
          </cell>
          <cell r="G81">
            <v>45730</v>
          </cell>
          <cell r="H81">
            <v>45760</v>
          </cell>
          <cell r="I81">
            <v>45789</v>
          </cell>
          <cell r="J81" t="str">
            <v>1 ปี 4 เดือน 12 วัน</v>
          </cell>
          <cell r="K81" t="str">
            <v>คลังสินค้า</v>
          </cell>
          <cell r="L81" t="str">
            <v>挑选
เจ้าหน้าที่คัดงาน</v>
          </cell>
          <cell r="M81" t="str">
            <v>Warehouse</v>
          </cell>
          <cell r="N81">
            <v>35774</v>
          </cell>
          <cell r="O81">
            <v>28</v>
          </cell>
          <cell r="P81" t="str">
            <v>093-090-1456</v>
          </cell>
          <cell r="Q81" t="str">
            <v>1-4399-00302-39-1</v>
          </cell>
          <cell r="R81" t="str">
            <v>Thai</v>
          </cell>
          <cell r="S81" t="str">
            <v>泰国</v>
          </cell>
          <cell r="T81" t="str">
            <v>ม.6</v>
          </cell>
          <cell r="U81" t="str">
            <v>72 หมู่ 11 ต.เหล่าต่างคำ อ.โพนพิสัย จ.หนองคาย</v>
          </cell>
          <cell r="V81" t="str">
            <v>92/1 หมุ่ 3 ซ.มาบยางพร22 ต.มาบยางพร อ.ปลวกแดง จ.ระยอง</v>
          </cell>
          <cell r="W81" t="str">
            <v>รายเดือน</v>
          </cell>
          <cell r="X81" t="str">
            <v>在职</v>
          </cell>
        </row>
        <row r="82">
          <cell r="B82">
            <v>68005</v>
          </cell>
          <cell r="C82" t="str">
            <v>นางสาวธิดา  แซ่กือ</v>
          </cell>
          <cell r="D82" t="str">
            <v>MISS.THIDA  SEAKEU</v>
          </cell>
          <cell r="E82" t="str">
            <v>Female</v>
          </cell>
          <cell r="F82">
            <v>45670</v>
          </cell>
          <cell r="G82">
            <v>45730</v>
          </cell>
          <cell r="H82">
            <v>45760</v>
          </cell>
          <cell r="I82">
            <v>45789</v>
          </cell>
          <cell r="J82" t="str">
            <v>1 ปี 4 เดือน 12 วัน</v>
          </cell>
          <cell r="K82" t="str">
            <v>คลังสินค้า</v>
          </cell>
          <cell r="L82" t="str">
            <v>挑选
เจ้าหน้าที่คัดงาน</v>
          </cell>
          <cell r="M82" t="str">
            <v>Warehouse</v>
          </cell>
          <cell r="N82">
            <v>37600</v>
          </cell>
          <cell r="O82">
            <v>23</v>
          </cell>
          <cell r="P82" t="str">
            <v>082-614-8052</v>
          </cell>
          <cell r="Q82" t="str">
            <v>1-6398-00294-82-4</v>
          </cell>
          <cell r="R82" t="str">
            <v>Thai</v>
          </cell>
          <cell r="S82" t="str">
            <v>泰国</v>
          </cell>
          <cell r="T82" t="str">
            <v>ม.7</v>
          </cell>
          <cell r="U82" t="str">
            <v>160 หมู่ 10 ต.มหาวัน อ.แม่สอด จ.ตาก</v>
          </cell>
          <cell r="V82" t="str">
            <v>60/2 หมู่ 2 ต.มะขามคู่ อ.นิคมพัฒนา จ.ระยอง</v>
          </cell>
          <cell r="W82" t="str">
            <v>รายเดือน</v>
          </cell>
          <cell r="X82" t="str">
            <v>在职</v>
          </cell>
        </row>
        <row r="83">
          <cell r="B83">
            <v>68017</v>
          </cell>
          <cell r="C83" t="str">
            <v>นายสิริคุปย์ แคว้นไธวง</v>
          </cell>
          <cell r="D83" t="str">
            <v>MR. SIRIKHUP KHAEONTHAISONG</v>
          </cell>
          <cell r="E83" t="str">
            <v>Male</v>
          </cell>
          <cell r="F83">
            <v>45717</v>
          </cell>
          <cell r="G83">
            <v>45777</v>
          </cell>
          <cell r="H83">
            <v>45807</v>
          </cell>
          <cell r="I83">
            <v>45836</v>
          </cell>
          <cell r="J83" t="str">
            <v>1 ปี 2 เดือน 24 วัน</v>
          </cell>
          <cell r="K83" t="str">
            <v>ประกอบ</v>
          </cell>
          <cell r="L83" t="str">
            <v>套螺帽
เจ้าหน้าที่Cut chamber</v>
          </cell>
          <cell r="M83" t="str">
            <v>Assembly machine</v>
          </cell>
          <cell r="N83">
            <v>36377</v>
          </cell>
          <cell r="O83">
            <v>26</v>
          </cell>
          <cell r="P83" t="str">
            <v>080-9603-073</v>
          </cell>
          <cell r="Q83" t="str">
            <v>1-4096-00266-65-9</v>
          </cell>
          <cell r="R83" t="str">
            <v>Thai</v>
          </cell>
          <cell r="S83" t="str">
            <v>泰国</v>
          </cell>
          <cell r="T83" t="str">
            <v>ม.3</v>
          </cell>
          <cell r="U83" t="str">
            <v>90 หมู่ที่4 ต.โนนคูณ อ.คอนสาร จ.ชัยภูมิ</v>
          </cell>
          <cell r="V83" t="str">
            <v>389 ม.1 ต.พนานิคม อ.นิคมพัฒนา จ.ระยอง</v>
          </cell>
          <cell r="W83" t="str">
            <v>รายเดือน</v>
          </cell>
          <cell r="X83" t="str">
            <v>在职</v>
          </cell>
        </row>
        <row r="84">
          <cell r="B84">
            <v>68018</v>
          </cell>
          <cell r="C84" t="str">
            <v>นางสาวทัศนีย์  ม่อมมิตร</v>
          </cell>
          <cell r="D84" t="str">
            <v>MISS.TASSANEE  MOMMIT</v>
          </cell>
          <cell r="E84" t="str">
            <v>Female</v>
          </cell>
          <cell r="F84">
            <v>45721</v>
          </cell>
          <cell r="G84">
            <v>45781</v>
          </cell>
          <cell r="H84">
            <v>45811</v>
          </cell>
          <cell r="I84">
            <v>45840</v>
          </cell>
          <cell r="J84" t="str">
            <v>1 ปี 2 เดือน 20 วัน</v>
          </cell>
          <cell r="K84" t="str">
            <v>คลังสินค้า</v>
          </cell>
          <cell r="L84" t="str">
            <v>仓库管理员
เจ้าหน้าที่คลังสินค้า</v>
          </cell>
          <cell r="M84" t="str">
            <v>Warehouse</v>
          </cell>
          <cell r="N84">
            <v>36316</v>
          </cell>
          <cell r="O84">
            <v>26</v>
          </cell>
          <cell r="P84" t="str">
            <v>065-825-0444</v>
          </cell>
          <cell r="Q84" t="str">
            <v>1-3110-60294-47-7</v>
          </cell>
          <cell r="R84" t="str">
            <v>Thai</v>
          </cell>
          <cell r="S84" t="str">
            <v>泰国</v>
          </cell>
          <cell r="T84" t="str">
            <v>ม.6</v>
          </cell>
          <cell r="U84" t="str">
            <v>168  หมู่ที่ 1 ต.ละหานทราย อ.ละหานทราย จ.บุรีรัมย์</v>
          </cell>
          <cell r="V84" t="str">
            <v>134 หมู่ที่ 4 ต.มาบยางพร อ.ปลวกแดง จ.ระยอง</v>
          </cell>
          <cell r="W84" t="str">
            <v>รายเดือน</v>
          </cell>
          <cell r="X84" t="str">
            <v>在职</v>
          </cell>
        </row>
        <row r="85">
          <cell r="B85">
            <v>68019</v>
          </cell>
          <cell r="C85" t="str">
            <v>นางสาวแพรวนภา จิตรเอื้อ</v>
          </cell>
          <cell r="D85" t="str">
            <v>MISS. PRAEWNAPHA  JIT-UE</v>
          </cell>
          <cell r="E85" t="str">
            <v>Female</v>
          </cell>
          <cell r="F85">
            <v>45721</v>
          </cell>
          <cell r="G85">
            <v>45781</v>
          </cell>
          <cell r="H85">
            <v>45811</v>
          </cell>
          <cell r="I85">
            <v>45840</v>
          </cell>
          <cell r="J85" t="str">
            <v>1 ปี 2 เดือน 20 วัน</v>
          </cell>
          <cell r="K85" t="str">
            <v>คลังสินค้า</v>
          </cell>
          <cell r="L85" t="str">
            <v>仓库管理员
เจ้าหน้าที่คลังสินค้า</v>
          </cell>
          <cell r="M85" t="str">
            <v>Warehouse</v>
          </cell>
          <cell r="N85">
            <v>36632</v>
          </cell>
          <cell r="O85">
            <v>26</v>
          </cell>
          <cell r="P85" t="str">
            <v>065-6066-0157</v>
          </cell>
          <cell r="Q85" t="str">
            <v>1-4710-01208-04-2</v>
          </cell>
          <cell r="R85" t="str">
            <v>Thai</v>
          </cell>
          <cell r="S85" t="str">
            <v>泰国</v>
          </cell>
          <cell r="T85" t="str">
            <v>ปวส.</v>
          </cell>
          <cell r="U85" t="str">
            <v>165 หมู่ที่ 6 ต.ดงหม้อทอง อ.บ้านม่วง จ.สกลนคร</v>
          </cell>
          <cell r="V85" t="str">
            <v>2/257 หมู่ที่ 6 ต.มาบยางพร อ.ปลวกแดง จ.ระยอง</v>
          </cell>
          <cell r="W85" t="str">
            <v>รายเดือน</v>
          </cell>
          <cell r="X85" t="str">
            <v>在职</v>
          </cell>
        </row>
        <row r="86">
          <cell r="B86">
            <v>68025</v>
          </cell>
          <cell r="C86" t="str">
            <v>นางสาวกาญจนา แซ่กือ</v>
          </cell>
          <cell r="D86" t="str">
            <v>MISS.KANCHANA SAEKUE</v>
          </cell>
          <cell r="E86" t="str">
            <v>Female</v>
          </cell>
          <cell r="F86">
            <v>45733</v>
          </cell>
          <cell r="G86">
            <v>45793</v>
          </cell>
          <cell r="H86">
            <v>45823</v>
          </cell>
          <cell r="I86">
            <v>45852</v>
          </cell>
          <cell r="J86" t="str">
            <v>1 ปี 2 เดือน 8 วัน</v>
          </cell>
          <cell r="K86" t="str">
            <v>ประกอบ</v>
          </cell>
          <cell r="L86" t="str">
            <v>套螺帽
เจ้าหน้าที่Cut chamber</v>
          </cell>
          <cell r="M86" t="str">
            <v>Assembly machine</v>
          </cell>
          <cell r="N86">
            <v>39047</v>
          </cell>
          <cell r="O86">
            <v>19</v>
          </cell>
          <cell r="P86" t="str">
            <v>062-116-6808</v>
          </cell>
          <cell r="Q86" t="str">
            <v>1-6398-00370-34-2</v>
          </cell>
          <cell r="R86" t="str">
            <v>Thai</v>
          </cell>
          <cell r="S86" t="str">
            <v>泰国</v>
          </cell>
          <cell r="T86" t="str">
            <v>ม.6</v>
          </cell>
          <cell r="U86" t="str">
            <v>160 ม.10 ต.มหาวัน อ.แม่สอด จ.ตาก</v>
          </cell>
          <cell r="V86" t="str">
            <v>375/27 ม.2 ต.มะขามคู่ อ.นิคมพัฒนา จ.ระยอง</v>
          </cell>
          <cell r="W86" t="str">
            <v>รายเดือน</v>
          </cell>
          <cell r="X86" t="str">
            <v>在职</v>
          </cell>
        </row>
        <row r="87">
          <cell r="B87">
            <v>68029</v>
          </cell>
          <cell r="C87" t="str">
            <v>นายกฤตเมธ  เสาเวียง</v>
          </cell>
          <cell r="D87" t="str">
            <v>MR.KRITTAMET SAOWIANG</v>
          </cell>
          <cell r="E87" t="str">
            <v>Male</v>
          </cell>
          <cell r="F87">
            <v>45748</v>
          </cell>
          <cell r="G87">
            <v>45808</v>
          </cell>
          <cell r="H87">
            <v>45838</v>
          </cell>
          <cell r="I87">
            <v>45867</v>
          </cell>
          <cell r="J87" t="str">
            <v>1 ปี 1 เดือน 24 วัน</v>
          </cell>
          <cell r="K87" t="str">
            <v>บริหารและวางแผนการผลิต</v>
          </cell>
          <cell r="L87" t="str">
            <v>项目  Project</v>
          </cell>
          <cell r="M87" t="str">
            <v>Production Management and Planning</v>
          </cell>
          <cell r="N87">
            <v>34610</v>
          </cell>
          <cell r="O87">
            <v>31</v>
          </cell>
          <cell r="P87" t="str">
            <v>088-525-1740</v>
          </cell>
          <cell r="Q87" t="str">
            <v>1-3114-00082-04-3</v>
          </cell>
          <cell r="R87" t="str">
            <v>Thai</v>
          </cell>
          <cell r="S87" t="str">
            <v>泰国</v>
          </cell>
          <cell r="T87" t="str">
            <v>ปริญญาตรี</v>
          </cell>
          <cell r="U87" t="str">
            <v>288/1 ม.4 ต.บ่อวิน อ.ศรีราชา จ.ชลบุรี</v>
          </cell>
          <cell r="V87" t="str">
            <v>99/25 เดอะวัลเลย์ สุขุมวิท บางแสน ต.เสม็ด อ.เมือง จ.ชลบุรี 20000</v>
          </cell>
          <cell r="W87" t="str">
            <v>รายเดือน</v>
          </cell>
          <cell r="X87" t="str">
            <v>在职</v>
          </cell>
        </row>
        <row r="88">
          <cell r="B88">
            <v>68032</v>
          </cell>
          <cell r="C88" t="str">
            <v>นางสาวอรณีย์  หมู่หมื่นศรี</v>
          </cell>
          <cell r="D88" t="str">
            <v>MISS ORRANEE MOOMEUNSEE</v>
          </cell>
          <cell r="E88" t="str">
            <v>Female</v>
          </cell>
          <cell r="F88">
            <v>45779</v>
          </cell>
          <cell r="G88">
            <v>45839</v>
          </cell>
          <cell r="H88">
            <v>45869</v>
          </cell>
          <cell r="I88">
            <v>45898</v>
          </cell>
          <cell r="J88" t="str">
            <v>1 ปี 0 เดือน 23 วัน</v>
          </cell>
          <cell r="K88" t="str">
            <v>ตรวจสอบคุณภาพ</v>
          </cell>
          <cell r="L88" t="str">
            <v>project</v>
          </cell>
          <cell r="M88" t="str">
            <v>Quality</v>
          </cell>
          <cell r="N88">
            <v>33941</v>
          </cell>
          <cell r="O88">
            <v>33</v>
          </cell>
          <cell r="P88" t="str">
            <v>083-893-6918</v>
          </cell>
          <cell r="Q88" t="str">
            <v>1-6799-00264-54-4</v>
          </cell>
          <cell r="R88" t="str">
            <v>Thai</v>
          </cell>
          <cell r="S88" t="str">
            <v>泰国</v>
          </cell>
          <cell r="T88" t="str">
            <v>ปวส.</v>
          </cell>
          <cell r="U88" t="str">
            <v>65 ม.3 ต.ช้างจะลด อ.หล่มสัก จ.เพชรบูรณ์</v>
          </cell>
          <cell r="V88" t="str">
            <v>273 ม.3 ต.บ่อวิน อ.ศรีราชา จ.ชลบุรี</v>
          </cell>
          <cell r="W88" t="str">
            <v>รายเดือน</v>
          </cell>
          <cell r="X88" t="str">
            <v>在职</v>
          </cell>
        </row>
        <row r="89">
          <cell r="B89">
            <v>68034</v>
          </cell>
          <cell r="C89" t="str">
            <v>นายวีระกร  อุดทังไข</v>
          </cell>
          <cell r="D89" t="str">
            <v>MR.WEERAKORN AUTTHANGKHAI</v>
          </cell>
          <cell r="E89" t="str">
            <v>Male</v>
          </cell>
          <cell r="F89">
            <v>45796</v>
          </cell>
          <cell r="G89">
            <v>45856</v>
          </cell>
          <cell r="H89">
            <v>45886</v>
          </cell>
          <cell r="I89">
            <v>45915</v>
          </cell>
          <cell r="J89" t="str">
            <v>1 ปี 0 เดือน 6 วัน</v>
          </cell>
          <cell r="K89" t="str">
            <v>Welding</v>
          </cell>
          <cell r="L89" t="str">
            <v>หัวหน้าฝ่ายเชื่อม Welding Leader</v>
          </cell>
          <cell r="M89" t="str">
            <v>Welding</v>
          </cell>
          <cell r="N89">
            <v>33015</v>
          </cell>
          <cell r="O89">
            <v>36</v>
          </cell>
          <cell r="P89" t="str">
            <v>093-390-2366</v>
          </cell>
          <cell r="Q89" t="str">
            <v>1-5507-00078-29-4</v>
          </cell>
          <cell r="R89" t="str">
            <v>Thai</v>
          </cell>
          <cell r="S89" t="str">
            <v>泰国</v>
          </cell>
          <cell r="T89" t="str">
            <v>ปริญญาตรี</v>
          </cell>
          <cell r="U89" t="str">
            <v>267 ม.1 ต.จอมจันทร์ อ.เวียงสา จ.น่าน</v>
          </cell>
          <cell r="V89" t="str">
            <v>267 ม.1 ต.จอมจันทร์ อ.เวียงสา จ.น่าน</v>
          </cell>
          <cell r="W89" t="str">
            <v>รายเดือน</v>
          </cell>
          <cell r="X89" t="str">
            <v>在职</v>
          </cell>
        </row>
        <row r="90">
          <cell r="B90">
            <v>68036</v>
          </cell>
          <cell r="C90" t="str">
            <v>นางสาวพันทิวา ไขคำ</v>
          </cell>
          <cell r="D90" t="str">
            <v>MISS.PANTIWA KAIKHAM</v>
          </cell>
          <cell r="E90" t="str">
            <v>Female</v>
          </cell>
          <cell r="F90">
            <v>45798</v>
          </cell>
          <cell r="G90">
            <v>45858</v>
          </cell>
          <cell r="H90">
            <v>45888</v>
          </cell>
          <cell r="I90">
            <v>45917</v>
          </cell>
          <cell r="J90" t="str">
            <v>1 ปี 0 เดือน 4 วัน</v>
          </cell>
          <cell r="K90" t="str">
            <v>พ่นสี</v>
          </cell>
          <cell r="L90" t="str">
            <v>喷涂及丝印组长 Leader พ่นสี+Screen</v>
          </cell>
          <cell r="M90" t="str">
            <v>Coating</v>
          </cell>
          <cell r="N90">
            <v>34320</v>
          </cell>
          <cell r="O90">
            <v>32</v>
          </cell>
          <cell r="P90" t="str">
            <v>081-741-9055</v>
          </cell>
          <cell r="Q90" t="str">
            <v>1-1008-00979-29-7</v>
          </cell>
          <cell r="R90" t="str">
            <v>Thai</v>
          </cell>
          <cell r="S90" t="str">
            <v>泰国</v>
          </cell>
          <cell r="T90" t="str">
            <v>ม.6</v>
          </cell>
          <cell r="U90" t="str">
            <v>42 ม.19 ต.ตลาดไทร อ.ชุมพวง จ.นครราชสีมา</v>
          </cell>
          <cell r="V90" t="str">
            <v>219 ม.5 ต.มาบยางพร อ.ปลวกแดง จ. ระรอง</v>
          </cell>
          <cell r="W90" t="str">
            <v>รายเดือน</v>
          </cell>
          <cell r="X90" t="str">
            <v>在职</v>
          </cell>
        </row>
        <row r="91">
          <cell r="B91">
            <v>68037</v>
          </cell>
          <cell r="C91" t="str">
            <v>Dang Jianlin</v>
          </cell>
          <cell r="D91" t="str">
            <v>MR.Dang Jianlin</v>
          </cell>
          <cell r="E91" t="str">
            <v>Male</v>
          </cell>
          <cell r="F91">
            <v>45775</v>
          </cell>
          <cell r="G91">
            <v>45835</v>
          </cell>
          <cell r="H91">
            <v>45865</v>
          </cell>
          <cell r="I91">
            <v>45894</v>
          </cell>
          <cell r="J91" t="str">
            <v>1 ปี 0 เดือน 27 วัน</v>
          </cell>
          <cell r="K91" t="str">
            <v>หลอมอลูมิเนียม</v>
          </cell>
          <cell r="L91" t="str">
            <v>压铸主管 
หัวหน้าฝ่ายหลอมอลูมิเนียม</v>
          </cell>
          <cell r="M91" t="str">
            <v>Die Casting</v>
          </cell>
          <cell r="N91">
            <v>34060</v>
          </cell>
          <cell r="O91">
            <v>33</v>
          </cell>
          <cell r="P91" t="str">
            <v>-</v>
          </cell>
          <cell r="Q91" t="str">
            <v>-</v>
          </cell>
          <cell r="R91" t="str">
            <v>จีน</v>
          </cell>
          <cell r="S91" t="str">
            <v>-</v>
          </cell>
          <cell r="T91" t="str">
            <v>-</v>
          </cell>
          <cell r="U91" t="str">
            <v>-</v>
          </cell>
          <cell r="V91" t="str">
            <v>-</v>
          </cell>
          <cell r="W91" t="str">
            <v>รายเดือน</v>
          </cell>
          <cell r="X91" t="str">
            <v>在职</v>
          </cell>
        </row>
        <row r="92">
          <cell r="B92">
            <v>68040</v>
          </cell>
          <cell r="C92" t="str">
            <v>นายเดชบดินทร์ กิจยศชัยปกรณ์</v>
          </cell>
          <cell r="D92" t="str">
            <v>MR.DETBODIN KITYOTCHAIPAKON</v>
          </cell>
          <cell r="E92" t="str">
            <v>Male</v>
          </cell>
          <cell r="F92">
            <v>45853</v>
          </cell>
          <cell r="G92">
            <v>45913</v>
          </cell>
          <cell r="H92">
            <v>45943</v>
          </cell>
          <cell r="I92">
            <v>45972</v>
          </cell>
          <cell r="J92" t="str">
            <v>0 ปี 10 เดือน 10 วัน</v>
          </cell>
          <cell r="K92" t="str">
            <v>ประกอบ</v>
          </cell>
          <cell r="L92" t="str">
            <v>Assembly production line Manager</v>
          </cell>
          <cell r="M92" t="str">
            <v>Assembly machine</v>
          </cell>
          <cell r="N92">
            <v>34898</v>
          </cell>
          <cell r="O92">
            <v>30</v>
          </cell>
          <cell r="P92" t="str">
            <v>093-149-9854</v>
          </cell>
          <cell r="Q92" t="str">
            <v>1-50040-0093-28-0</v>
          </cell>
          <cell r="R92" t="str">
            <v>Thai</v>
          </cell>
          <cell r="S92" t="str">
            <v>泰国</v>
          </cell>
          <cell r="T92" t="str">
            <v>ปริญญาตรี</v>
          </cell>
          <cell r="U92" t="str">
            <v>264/76 ม.1 ต.มะขามคู่ อ.นิคมพัฒนา จ.ระยอง</v>
          </cell>
          <cell r="V92" t="str">
            <v>264/76 ม.1 ต.มะขามคู่ อ.นิคมพัฒนา จ.ระยอง</v>
          </cell>
          <cell r="W92" t="str">
            <v>รายเดือน</v>
          </cell>
          <cell r="X92" t="str">
            <v>在职</v>
          </cell>
        </row>
        <row r="93">
          <cell r="B93">
            <v>68042</v>
          </cell>
          <cell r="C93" t="str">
            <v>Song Liangliang</v>
          </cell>
          <cell r="D93" t="str">
            <v>MR.Song Liangliang</v>
          </cell>
          <cell r="E93" t="str">
            <v>Male</v>
          </cell>
          <cell r="F93">
            <v>45827</v>
          </cell>
          <cell r="G93">
            <v>45887</v>
          </cell>
          <cell r="H93">
            <v>45917</v>
          </cell>
          <cell r="I93">
            <v>45946</v>
          </cell>
          <cell r="J93" t="str">
            <v>0 ปี 11 เดือน 6 วัน</v>
          </cell>
          <cell r="K93" t="str">
            <v>ซ่อมบำรุง</v>
          </cell>
          <cell r="L93" t="str">
            <v>Maintenance Supervisor (Machine)</v>
          </cell>
          <cell r="M93" t="str">
            <v>Maintenance Supervisor (Machine)</v>
          </cell>
          <cell r="N93">
            <v>32450</v>
          </cell>
          <cell r="O93">
            <v>37</v>
          </cell>
          <cell r="P93" t="str">
            <v>-</v>
          </cell>
          <cell r="Q93" t="str">
            <v>-</v>
          </cell>
          <cell r="R93" t="str">
            <v>จีน</v>
          </cell>
          <cell r="S93" t="str">
            <v>-</v>
          </cell>
          <cell r="T93" t="str">
            <v>-</v>
          </cell>
          <cell r="U93" t="str">
            <v>-</v>
          </cell>
          <cell r="V93" t="str">
            <v>-</v>
          </cell>
          <cell r="W93" t="str">
            <v>รายเดือน</v>
          </cell>
          <cell r="X93" t="str">
            <v>在职</v>
          </cell>
        </row>
        <row r="94">
          <cell r="B94">
            <v>68043</v>
          </cell>
          <cell r="C94" t="str">
            <v>นายวันชัย ขุมทอง</v>
          </cell>
          <cell r="D94" t="str">
            <v>MR.WANCHAI KHUMTONG</v>
          </cell>
          <cell r="E94" t="str">
            <v>Male</v>
          </cell>
          <cell r="F94">
            <v>45873</v>
          </cell>
          <cell r="G94">
            <v>45933</v>
          </cell>
          <cell r="H94">
            <v>45963</v>
          </cell>
          <cell r="I94">
            <v>45992</v>
          </cell>
          <cell r="J94" t="str">
            <v>0 ปี 9 เดือน 21 วัน</v>
          </cell>
          <cell r="K94" t="str">
            <v>ประกอบ</v>
          </cell>
          <cell r="L94" t="str">
            <v>PLC</v>
          </cell>
          <cell r="M94" t="str">
            <v>PLC</v>
          </cell>
          <cell r="N94">
            <v>36614</v>
          </cell>
          <cell r="O94">
            <v>26</v>
          </cell>
          <cell r="P94" t="str">
            <v>098-891-8695</v>
          </cell>
          <cell r="Q94" t="str">
            <v>1-1018-01086-91-2</v>
          </cell>
          <cell r="R94" t="str">
            <v>ไทย</v>
          </cell>
          <cell r="S94" t="str">
            <v>泰国</v>
          </cell>
          <cell r="T94" t="str">
            <v>ปริญญาตรี</v>
          </cell>
          <cell r="U94" t="str">
            <v>109 ม.8 ต.นาภู อ.ยางสีสุราษ จ.มหาสารคาม</v>
          </cell>
          <cell r="V94" t="str">
            <v>500 ม.1 ต.ตาสิทธิ์ อ.ปลวกแดง จ.ระยอง</v>
          </cell>
          <cell r="W94" t="str">
            <v>รายเดือน</v>
          </cell>
          <cell r="X94" t="str">
            <v>在职</v>
          </cell>
        </row>
        <row r="95">
          <cell r="B95">
            <v>68048</v>
          </cell>
          <cell r="C95" t="str">
            <v>นางสาวอรญา ทองยศ</v>
          </cell>
          <cell r="D95" t="str">
            <v>MISS.ORAYA THONGYOT</v>
          </cell>
          <cell r="E95" t="str">
            <v>Female</v>
          </cell>
          <cell r="F95">
            <v>45887</v>
          </cell>
          <cell r="G95">
            <v>45947</v>
          </cell>
          <cell r="H95">
            <v>45977</v>
          </cell>
          <cell r="I95">
            <v>46006</v>
          </cell>
          <cell r="J95" t="str">
            <v>0 ปี 9 เดือน 7 วัน</v>
          </cell>
          <cell r="K95" t="str">
            <v>หลอมอลูมิเนียม</v>
          </cell>
          <cell r="L95" t="str">
            <v>检验员QC
เจ้าหน้าที่ QC</v>
          </cell>
          <cell r="M95" t="str">
            <v>Quality</v>
          </cell>
          <cell r="N95">
            <v>35557</v>
          </cell>
          <cell r="O95">
            <v>29</v>
          </cell>
          <cell r="P95" t="str">
            <v>090-979-9134</v>
          </cell>
          <cell r="Q95" t="str">
            <v>1-3499-00854-08-5</v>
          </cell>
          <cell r="R95" t="str">
            <v>ไทย</v>
          </cell>
          <cell r="S95" t="str">
            <v>泰国</v>
          </cell>
          <cell r="T95" t="str">
            <v>ม.6</v>
          </cell>
          <cell r="U95" t="str">
            <v>219 ม.1 ต.ประดาง อ.วังเจ้า จ.ตาก</v>
          </cell>
          <cell r="V95" t="str">
            <v>199/79 ม.4 ต.มะขามคู่ อ.นิคมพัฒนา จ.ระยอง</v>
          </cell>
          <cell r="W95" t="str">
            <v>รายเดือน</v>
          </cell>
          <cell r="X95" t="str">
            <v>在职</v>
          </cell>
        </row>
        <row r="96">
          <cell r="B96">
            <v>68049</v>
          </cell>
          <cell r="C96" t="str">
            <v>นายนราธิป บุญภูมิ</v>
          </cell>
          <cell r="D96" t="str">
            <v>MR.NARATHIP BUNPUM</v>
          </cell>
          <cell r="E96" t="str">
            <v>Male</v>
          </cell>
          <cell r="F96">
            <v>45890</v>
          </cell>
          <cell r="G96">
            <v>45950</v>
          </cell>
          <cell r="H96">
            <v>45980</v>
          </cell>
          <cell r="I96">
            <v>46009</v>
          </cell>
          <cell r="J96" t="str">
            <v>0 ปี 9 เดือน 4 วัน</v>
          </cell>
          <cell r="K96" t="str">
            <v>Welding</v>
          </cell>
          <cell r="L96" t="str">
            <v>焊接操作工ROBOT
ฝ่ายเชื่อมงานRobot</v>
          </cell>
          <cell r="M96" t="str">
            <v>Welding</v>
          </cell>
          <cell r="N96">
            <v>37582</v>
          </cell>
          <cell r="O96">
            <v>23</v>
          </cell>
          <cell r="P96" t="str">
            <v>082-395-7500</v>
          </cell>
          <cell r="Q96" t="str">
            <v>1-7499-00870-75-3</v>
          </cell>
          <cell r="R96" t="str">
            <v>ไทย</v>
          </cell>
          <cell r="S96" t="str">
            <v>泰国</v>
          </cell>
          <cell r="T96" t="str">
            <v>ม.6</v>
          </cell>
          <cell r="U96" t="str">
            <v>19 ม.11 ต.โนนเจริญ อ.บ้านกรวด จ.บุรีรัมย์</v>
          </cell>
          <cell r="V96" t="str">
            <v>156 ม.6 ต.มาบยางพร อ.ปลวกแดง จ.ระยอง</v>
          </cell>
          <cell r="W96" t="str">
            <v>รายเดือน</v>
          </cell>
          <cell r="X96" t="str">
            <v>在职</v>
          </cell>
        </row>
        <row r="97">
          <cell r="B97">
            <v>68050</v>
          </cell>
          <cell r="C97" t="str">
            <v>นายเฉลิมวุฒิ เพ็งประโคน</v>
          </cell>
          <cell r="D97" t="str">
            <v>MRSALOEMWUT PHENGPRAKHON</v>
          </cell>
          <cell r="E97" t="str">
            <v>Male</v>
          </cell>
          <cell r="F97">
            <v>45890</v>
          </cell>
          <cell r="G97">
            <v>45950</v>
          </cell>
          <cell r="H97">
            <v>45980</v>
          </cell>
          <cell r="I97">
            <v>46009</v>
          </cell>
          <cell r="J97" t="str">
            <v>0 ปี 9 เดือน 4 วัน</v>
          </cell>
          <cell r="K97" t="str">
            <v>Stamping</v>
          </cell>
          <cell r="L97" t="str">
            <v>冲压操作工260T
เจ้าหน้าที่ปั๊มงาน260ตัน</v>
          </cell>
          <cell r="M97" t="str">
            <v>Stamping</v>
          </cell>
          <cell r="N97">
            <v>36522</v>
          </cell>
          <cell r="O97">
            <v>26</v>
          </cell>
          <cell r="P97" t="str">
            <v>065-455-7752</v>
          </cell>
          <cell r="Q97" t="str">
            <v>1-3501-01563-04-9</v>
          </cell>
          <cell r="R97" t="str">
            <v>ไทย</v>
          </cell>
          <cell r="S97" t="str">
            <v>泰国</v>
          </cell>
          <cell r="T97" t="str">
            <v>ม.6</v>
          </cell>
          <cell r="U97" t="str">
            <v>178 ม.3 ต.หัวเมือง อ.มหาชนะชัย จ.ยโสธร</v>
          </cell>
          <cell r="V97" t="str">
            <v>306/16 ม.2 ต.มาบยางพร อ.ปลวกแดง จ.ระยอง</v>
          </cell>
          <cell r="W97" t="str">
            <v>รายเดือน</v>
          </cell>
          <cell r="X97" t="str">
            <v>在职</v>
          </cell>
        </row>
        <row r="98">
          <cell r="B98">
            <v>68051</v>
          </cell>
          <cell r="C98" t="str">
            <v>นายสมโภชน์ เหลี่ยมล้ำ</v>
          </cell>
          <cell r="D98" t="str">
            <v>MR.SOMPOCH LIAMLAM</v>
          </cell>
          <cell r="E98" t="str">
            <v>Male</v>
          </cell>
          <cell r="F98">
            <v>45890</v>
          </cell>
          <cell r="G98">
            <v>45950</v>
          </cell>
          <cell r="H98">
            <v>45980</v>
          </cell>
          <cell r="I98">
            <v>46009</v>
          </cell>
          <cell r="J98" t="str">
            <v>0 ปี 9 เดือน 4 วัน</v>
          </cell>
          <cell r="K98" t="str">
            <v>ตรวจสอบคุณภาพ</v>
          </cell>
          <cell r="L98" t="str">
            <v>TECHNICAL QUALITY</v>
          </cell>
          <cell r="M98" t="str">
            <v>Quality</v>
          </cell>
          <cell r="N98">
            <v>34444</v>
          </cell>
          <cell r="O98">
            <v>32</v>
          </cell>
          <cell r="P98" t="str">
            <v>093-483-0191</v>
          </cell>
          <cell r="Q98" t="str">
            <v>1-4502-00206-70-7</v>
          </cell>
          <cell r="R98" t="str">
            <v>ไทย</v>
          </cell>
          <cell r="S98" t="str">
            <v>泰国</v>
          </cell>
          <cell r="T98" t="str">
            <v>ปวช.</v>
          </cell>
          <cell r="U98" t="str">
            <v>77 ม.10 ต.ดงครั่งน้อย อ.เกษตรวิสัย จ.ร้อยเอ็ด</v>
          </cell>
          <cell r="V98" t="str">
            <v>497/1 ม.2 ต.มาบยางพร อ.ปลวกแดง จ.ระยอง</v>
          </cell>
          <cell r="W98" t="str">
            <v>รายเดือน</v>
          </cell>
          <cell r="X98" t="str">
            <v>在职</v>
          </cell>
        </row>
        <row r="99">
          <cell r="B99">
            <v>68052</v>
          </cell>
          <cell r="C99" t="str">
            <v>นางสาวภัสนันท์ เข้มแข็ง</v>
          </cell>
          <cell r="D99" t="str">
            <v>MS.PASSANAN KHAMKHAENG</v>
          </cell>
          <cell r="E99" t="str">
            <v>Female</v>
          </cell>
          <cell r="F99">
            <v>45901</v>
          </cell>
          <cell r="G99">
            <v>45961</v>
          </cell>
          <cell r="H99">
            <v>45991</v>
          </cell>
          <cell r="I99">
            <v>46020</v>
          </cell>
          <cell r="J99" t="str">
            <v>0 ปี 8 เดือน 24 วัน</v>
          </cell>
          <cell r="K99" t="str">
            <v>HR &amp; Administration</v>
          </cell>
          <cell r="L99" t="str">
            <v>行政专员
ทรัพยากรบุคคล</v>
          </cell>
          <cell r="M99" t="str">
            <v>HR &amp; Administration</v>
          </cell>
          <cell r="N99">
            <v>36444</v>
          </cell>
          <cell r="O99">
            <v>26</v>
          </cell>
          <cell r="P99" t="str">
            <v>098-289-5309</v>
          </cell>
          <cell r="Q99" t="str">
            <v>1-2105-00127-28-6</v>
          </cell>
          <cell r="R99" t="str">
            <v>ไทย</v>
          </cell>
          <cell r="S99" t="str">
            <v>泰国</v>
          </cell>
          <cell r="T99" t="str">
            <v>ปริญญาตรี</v>
          </cell>
          <cell r="U99" t="str">
            <v>103/2 ม.11 ต.บางบุตร อ.บ้านค่าย จ.ระยอง 21120</v>
          </cell>
          <cell r="V99" t="str">
            <v>103/2 ม.11 ต.บางบุตร อ.บ้านค่าย จ.ระยอง 21120</v>
          </cell>
          <cell r="W99" t="str">
            <v>รายเดือน</v>
          </cell>
          <cell r="X99" t="str">
            <v>在职</v>
          </cell>
        </row>
        <row r="100">
          <cell r="B100">
            <v>68055</v>
          </cell>
          <cell r="C100" t="str">
            <v>นายภานุพงศ์ บุญเฮ้า</v>
          </cell>
          <cell r="D100" t="str">
            <v>MR.PHANUPHONG BOONHAO</v>
          </cell>
          <cell r="E100" t="str">
            <v>Male</v>
          </cell>
          <cell r="F100">
            <v>45922</v>
          </cell>
          <cell r="G100">
            <v>45982</v>
          </cell>
          <cell r="H100">
            <v>46012</v>
          </cell>
          <cell r="I100">
            <v>46041</v>
          </cell>
          <cell r="J100" t="str">
            <v>0 ปี 8 เดือน 3 วัน</v>
          </cell>
          <cell r="K100" t="str">
            <v>ซ่อมบำรุง</v>
          </cell>
          <cell r="L100" t="str">
            <v>维修摸具
ช่างซ่อมแม่พิมพ์</v>
          </cell>
          <cell r="M100" t="str">
            <v>Equipment</v>
          </cell>
          <cell r="N100">
            <v>37560</v>
          </cell>
          <cell r="O100">
            <v>23</v>
          </cell>
          <cell r="P100">
            <v>654638386</v>
          </cell>
          <cell r="Q100" t="str">
            <v>1-1031-00760-58-9</v>
          </cell>
          <cell r="R100" t="str">
            <v>ไทย</v>
          </cell>
          <cell r="S100" t="str">
            <v>泰国</v>
          </cell>
          <cell r="T100" t="str">
            <v>ปวส.</v>
          </cell>
          <cell r="U100" t="str">
            <v>71 หมู่ที่ 8 ต.ท่าตูม อ.ท่าตูม จ.สุรินทร์</v>
          </cell>
          <cell r="V100" t="str">
            <v>295 ม.6 ต.มาบยางพร อ.ปลวกแดง จ.ระยอง 21140</v>
          </cell>
          <cell r="W100" t="str">
            <v>รายเดือน</v>
          </cell>
          <cell r="X100" t="str">
            <v>在职</v>
          </cell>
        </row>
        <row r="101">
          <cell r="B101">
            <v>68056</v>
          </cell>
          <cell r="C101" t="str">
            <v>นายสุชาติ พลชาลี</v>
          </cell>
          <cell r="D101" t="str">
            <v>MR.SUCHAT PHONCHALI</v>
          </cell>
          <cell r="E101" t="str">
            <v>Male</v>
          </cell>
          <cell r="F101">
            <v>45922</v>
          </cell>
          <cell r="G101">
            <v>45982</v>
          </cell>
          <cell r="H101">
            <v>46012</v>
          </cell>
          <cell r="I101">
            <v>46041</v>
          </cell>
          <cell r="J101" t="str">
            <v>0 ปี 8 เดือน 3 วัน</v>
          </cell>
          <cell r="K101" t="str">
            <v>Stamping</v>
          </cell>
          <cell r="L101" t="str">
            <v>冲压操作工500T
เจ้าหน้าที่ปั๊มงาน500ตัน</v>
          </cell>
          <cell r="M101" t="str">
            <v>Stamping</v>
          </cell>
          <cell r="N101">
            <v>35387</v>
          </cell>
          <cell r="O101">
            <v>29</v>
          </cell>
          <cell r="P101">
            <v>928947516</v>
          </cell>
          <cell r="Q101" t="str">
            <v>1-3610-00267-41-1</v>
          </cell>
          <cell r="R101" t="str">
            <v>ไทย</v>
          </cell>
          <cell r="S101" t="str">
            <v>泰国</v>
          </cell>
          <cell r="T101" t="str">
            <v>ม.6</v>
          </cell>
          <cell r="U101" t="str">
            <v>197 หมู่ที่ 1 ต.โนนกอก อ.เกษตรสมบูรณ์ จ.ชัยภูมิ</v>
          </cell>
          <cell r="V101" t="str">
            <v>112 หมู่ที่ 4 ต.มาบยางพร อ.ปลวกแดง จ.ระยอง 21140</v>
          </cell>
          <cell r="W101" t="str">
            <v>รายเดือน</v>
          </cell>
          <cell r="X101" t="str">
            <v>在职</v>
          </cell>
        </row>
        <row r="102">
          <cell r="B102">
            <v>68060</v>
          </cell>
          <cell r="C102" t="str">
            <v>นางสาวกันต์วรา  แก้วกันทา</v>
          </cell>
          <cell r="D102" t="str">
            <v>MS.KANWARA KAEWKANTA</v>
          </cell>
          <cell r="E102" t="str">
            <v>Female</v>
          </cell>
          <cell r="F102">
            <v>45964</v>
          </cell>
          <cell r="G102">
            <v>46024</v>
          </cell>
          <cell r="H102">
            <v>46054</v>
          </cell>
          <cell r="I102">
            <v>46083</v>
          </cell>
          <cell r="J102" t="str">
            <v>0 ปี 6 เดือน 22 วัน</v>
          </cell>
          <cell r="K102" t="str">
            <v>HR &amp; Administration</v>
          </cell>
          <cell r="L102" t="str">
            <v>行政
ฝ่ายธุรการ</v>
          </cell>
          <cell r="M102" t="str">
            <v>HR &amp; Administration</v>
          </cell>
          <cell r="N102">
            <v>34010</v>
          </cell>
          <cell r="O102">
            <v>33</v>
          </cell>
          <cell r="P102" t="str">
            <v>098-758-4494</v>
          </cell>
          <cell r="Q102" t="str">
            <v>1-5299-00621-57-7</v>
          </cell>
          <cell r="R102" t="str">
            <v>ไทย</v>
          </cell>
          <cell r="S102" t="str">
            <v>泰国</v>
          </cell>
          <cell r="T102" t="str">
            <v>ปวส.</v>
          </cell>
          <cell r="U102" t="str">
            <v>444/53 หมู่ที่ 2 ซ.3 ต.นิคมพัฒนา อ.นิคมพัฒนา จ.ระยอง</v>
          </cell>
          <cell r="V102" t="str">
            <v>444/53 หมู่ที่ 2 ซ.3 ต.นิคมพัฒนา อ.นิคมพัฒนา จ.ระยอง</v>
          </cell>
          <cell r="W102" t="str">
            <v>รายเดือน</v>
          </cell>
          <cell r="X102" t="str">
            <v>在职</v>
          </cell>
        </row>
        <row r="103">
          <cell r="B103">
            <v>68061</v>
          </cell>
          <cell r="C103" t="str">
            <v>นางสาวจิตรลดา  พิพัฒนาสุภรณ์</v>
          </cell>
          <cell r="D103" t="str">
            <v>MS.JIDLADA  PHIPHATTHANASUPHON</v>
          </cell>
          <cell r="E103" t="str">
            <v>Female</v>
          </cell>
          <cell r="F103">
            <v>45974</v>
          </cell>
          <cell r="G103">
            <v>46034</v>
          </cell>
          <cell r="H103">
            <v>46064</v>
          </cell>
          <cell r="I103">
            <v>46093</v>
          </cell>
          <cell r="J103" t="str">
            <v>0 ปี 6 เดือน 12 วัน</v>
          </cell>
          <cell r="K103" t="str">
            <v>Production</v>
          </cell>
          <cell r="L103" t="str">
            <v>行政
ฝ่ายธุรการ （Spare parts）</v>
          </cell>
          <cell r="M103" t="str">
            <v>Production</v>
          </cell>
          <cell r="N103">
            <v>37679</v>
          </cell>
          <cell r="O103">
            <v>23</v>
          </cell>
          <cell r="P103" t="str">
            <v>095-194-3808</v>
          </cell>
          <cell r="Q103" t="str">
            <v>1-4699-00604-31-2</v>
          </cell>
          <cell r="R103" t="str">
            <v>ไทย</v>
          </cell>
          <cell r="S103" t="str">
            <v>泰国</v>
          </cell>
          <cell r="T103" t="str">
            <v>ปวช.</v>
          </cell>
          <cell r="U103" t="str">
            <v>127/1 ม.5 ต.นาด้วง อ.นาด้วง จ.เลย</v>
          </cell>
          <cell r="V103" t="str">
            <v>406/56 ม.2 ต.มาบยางพร อ.ปลวกแดง จ.ระยอง</v>
          </cell>
          <cell r="W103" t="str">
            <v>รายเดือน</v>
          </cell>
          <cell r="X103" t="str">
            <v>在职</v>
          </cell>
        </row>
        <row r="104">
          <cell r="B104">
            <v>68062</v>
          </cell>
          <cell r="C104" t="str">
            <v>นางสาวยุวดี  อินทรีย์</v>
          </cell>
          <cell r="D104" t="str">
            <v>MISS YUWADEE  INSEE</v>
          </cell>
          <cell r="E104" t="str">
            <v>Female</v>
          </cell>
          <cell r="F104">
            <v>45992</v>
          </cell>
          <cell r="G104">
            <v>46052</v>
          </cell>
          <cell r="H104">
            <v>46082</v>
          </cell>
          <cell r="I104">
            <v>46111</v>
          </cell>
          <cell r="J104" t="str">
            <v>0 ปี 5 เดือน 24 วัน</v>
          </cell>
          <cell r="K104" t="str">
            <v>ตรวจสอบคุณภาพ</v>
          </cell>
          <cell r="L104" t="str">
            <v>检验员QC
เจ้าหน้าที่ QC</v>
          </cell>
          <cell r="M104" t="str">
            <v>Quality</v>
          </cell>
          <cell r="N104">
            <v>37231</v>
          </cell>
          <cell r="O104">
            <v>24</v>
          </cell>
          <cell r="P104" t="str">
            <v>098-465-9786</v>
          </cell>
          <cell r="Q104" t="str">
            <v>1-3391-00005-94-6</v>
          </cell>
          <cell r="R104" t="str">
            <v>ไทย</v>
          </cell>
          <cell r="S104" t="str">
            <v>泰国</v>
          </cell>
          <cell r="T104" t="str">
            <v>ปวช.</v>
          </cell>
          <cell r="U104" t="str">
            <v>78 ม.5 ต.บัวหุ่ง อ.ราษีไศล จ.ศรีสะเกษ</v>
          </cell>
          <cell r="V104" t="str">
            <v>406/56 ม.2 ต.มาบยางพร อ.ปลวกแดง จ.ระยอง</v>
          </cell>
          <cell r="W104" t="str">
            <v>รายเดือน</v>
          </cell>
          <cell r="X104" t="str">
            <v>在职</v>
          </cell>
        </row>
        <row r="105">
          <cell r="B105">
            <v>68063</v>
          </cell>
          <cell r="C105" t="str">
            <v>นายพงษ์ศักดิ์  ไชยคุณ</v>
          </cell>
          <cell r="D105" t="str">
            <v>MR.PHONGSAK  CHAIYAKUN</v>
          </cell>
          <cell r="E105" t="str">
            <v>Male</v>
          </cell>
          <cell r="F105">
            <v>45999</v>
          </cell>
          <cell r="G105">
            <v>46059</v>
          </cell>
          <cell r="H105">
            <v>46089</v>
          </cell>
          <cell r="I105">
            <v>46118</v>
          </cell>
          <cell r="J105" t="str">
            <v>0 ปี 5 เดือน 17 วัน</v>
          </cell>
          <cell r="K105" t="str">
            <v>ซ่อมบำรุง</v>
          </cell>
          <cell r="L105" t="str">
            <v>压铸 维修摸具
โรงหล่อ ช่างซ่อมแม่พิมพ์</v>
          </cell>
          <cell r="M105" t="str">
            <v>Equipment</v>
          </cell>
          <cell r="N105">
            <v>32991</v>
          </cell>
          <cell r="O105">
            <v>36</v>
          </cell>
          <cell r="P105" t="str">
            <v>099-343-7007</v>
          </cell>
          <cell r="Q105" t="str">
            <v>1-4104-00167-09-8</v>
          </cell>
          <cell r="R105" t="str">
            <v>ไทย</v>
          </cell>
          <cell r="S105" t="str">
            <v>泰国</v>
          </cell>
          <cell r="T105" t="str">
            <v>ปวช.</v>
          </cell>
          <cell r="U105" t="str">
            <v>7  ม.2 ต.บ้านฉาง อ.บ้านฉาง จ.ระยอง</v>
          </cell>
          <cell r="V105" t="str">
            <v>7 ม.2 ต.บ้านฉาง อ.บ้านฉาง จ.ระยอง</v>
          </cell>
          <cell r="W105" t="str">
            <v>รายเดือน</v>
          </cell>
          <cell r="X105" t="str">
            <v>在职</v>
          </cell>
        </row>
        <row r="106">
          <cell r="B106">
            <v>68068</v>
          </cell>
          <cell r="C106" t="str">
            <v>นายธนานัต  ดอนลาดลี</v>
          </cell>
          <cell r="D106" t="str">
            <v>MR.TANANAT DONLADLEE</v>
          </cell>
          <cell r="E106" t="str">
            <v>Male</v>
          </cell>
          <cell r="F106">
            <v>46012</v>
          </cell>
          <cell r="G106">
            <v>46072</v>
          </cell>
          <cell r="H106">
            <v>46102</v>
          </cell>
          <cell r="I106">
            <v>46131</v>
          </cell>
          <cell r="J106" t="str">
            <v>0 ปี 5 เดือน 4 วัน</v>
          </cell>
          <cell r="K106" t="str">
            <v>พ่นสี</v>
          </cell>
          <cell r="L106" t="str">
            <v>เจ้าหน้าที่พ่นสี     喷涂</v>
          </cell>
          <cell r="M106" t="str">
            <v>Coating</v>
          </cell>
          <cell r="N106">
            <v>34013</v>
          </cell>
          <cell r="O106">
            <v>33</v>
          </cell>
          <cell r="P106" t="str">
            <v>095-763-4713</v>
          </cell>
          <cell r="Q106" t="str">
            <v>1-4604-00047-48-3</v>
          </cell>
          <cell r="R106" t="str">
            <v>ไทย</v>
          </cell>
          <cell r="S106" t="str">
            <v>泰国</v>
          </cell>
          <cell r="T106" t="str">
            <v>ม.3</v>
          </cell>
          <cell r="U106" t="str">
            <v>78 ม.5 ต.บัวหุ่ง อ.ราษีไศล จ.ศรีสะเกษ</v>
          </cell>
          <cell r="V106" t="str">
            <v>406/56 ม.2 ต.มาบยางพร อ.ปลวกแดง จ.ระยอง</v>
          </cell>
          <cell r="W106" t="str">
            <v>รายเดือน</v>
          </cell>
          <cell r="X106" t="str">
            <v>ปรับมาจากซัพฯ</v>
          </cell>
        </row>
        <row r="107">
          <cell r="B107">
            <v>69001</v>
          </cell>
          <cell r="C107" t="str">
            <v>นายกิตติศักดิ์  ดอนลาดลี</v>
          </cell>
          <cell r="D107" t="str">
            <v>MR.KITTISAK DONLADLEE</v>
          </cell>
          <cell r="E107" t="str">
            <v>Male</v>
          </cell>
          <cell r="F107">
            <v>46036</v>
          </cell>
          <cell r="G107">
            <v>46096</v>
          </cell>
          <cell r="H107">
            <v>46126</v>
          </cell>
          <cell r="I107">
            <v>46155</v>
          </cell>
          <cell r="J107" t="str">
            <v>0 ปี 4 เดือน 11 วัน</v>
          </cell>
          <cell r="K107" t="str">
            <v>พ่นสี</v>
          </cell>
          <cell r="L107" t="str">
            <v>เจ้าหน้าที่พ่นสี     喷涂</v>
          </cell>
          <cell r="M107" t="str">
            <v>Coating</v>
          </cell>
          <cell r="N107">
            <v>33322</v>
          </cell>
          <cell r="O107">
            <v>35</v>
          </cell>
          <cell r="P107" t="str">
            <v>061-576-2880</v>
          </cell>
          <cell r="Q107" t="str">
            <v>1-4604-00042-39-2</v>
          </cell>
          <cell r="R107" t="str">
            <v>ไทย</v>
          </cell>
          <cell r="S107" t="str">
            <v>泰国</v>
          </cell>
          <cell r="T107" t="str">
            <v>ม.3</v>
          </cell>
          <cell r="U107" t="str">
            <v>69 ม.7 ต.บัวคำ อ.โพธิ์ชัย จ.ร้อยเอ็ด</v>
          </cell>
          <cell r="V107" t="str">
            <v>219 ม.5 ซ.บางบ่อ ต.มาบยางพร อ.ปลวกแดง จ.ระยอง</v>
          </cell>
          <cell r="W107" t="str">
            <v>รายเดือน</v>
          </cell>
          <cell r="X107" t="str">
            <v>ผู้พิการ ประเภท 5</v>
          </cell>
        </row>
        <row r="108">
          <cell r="B108">
            <v>69005</v>
          </cell>
          <cell r="C108" t="str">
            <v>นายดำรงค์  ปัตพี</v>
          </cell>
          <cell r="D108" t="str">
            <v>MR.DAMRONG PATTAPHI</v>
          </cell>
          <cell r="E108" t="str">
            <v>Male</v>
          </cell>
          <cell r="F108">
            <v>46039</v>
          </cell>
          <cell r="G108">
            <v>46099</v>
          </cell>
          <cell r="H108">
            <v>46129</v>
          </cell>
          <cell r="I108">
            <v>46158</v>
          </cell>
          <cell r="J108" t="str">
            <v>0 ปี 4 เดือน 8 วัน</v>
          </cell>
          <cell r="K108" t="str">
            <v>Bending</v>
          </cell>
          <cell r="L108" t="str">
            <v>折弯机操作员
เจ้าหน้าที่ควบคุมเครื่องBending</v>
          </cell>
          <cell r="M108" t="str">
            <v>Bending</v>
          </cell>
          <cell r="N108">
            <v>33332</v>
          </cell>
          <cell r="O108">
            <v>35</v>
          </cell>
          <cell r="P108" t="str">
            <v>092-720-1940</v>
          </cell>
          <cell r="Q108" t="str">
            <v>1-3611-00070-21-0</v>
          </cell>
          <cell r="R108" t="str">
            <v>ไทย</v>
          </cell>
          <cell r="S108" t="str">
            <v>泰国</v>
          </cell>
          <cell r="T108" t="str">
            <v>ม.6</v>
          </cell>
          <cell r="U108" t="str">
            <v>20 ม.3 ต.บ้านเต่า อ.บ้านแท่น จ.ชัยภูมิ</v>
          </cell>
          <cell r="V108" t="str">
            <v>555/5 ม.1 ต.มาบยางพร อ.ปลวกแดง จ.ระยอง</v>
          </cell>
          <cell r="W108" t="str">
            <v>รายเดือน</v>
          </cell>
        </row>
        <row r="109">
          <cell r="B109">
            <v>69008</v>
          </cell>
          <cell r="C109" t="str">
            <v>นายวชิรวิทย์  ร่องจิต</v>
          </cell>
          <cell r="D109" t="str">
            <v>MR.WACHIRAWIT RONGJIT</v>
          </cell>
          <cell r="E109" t="str">
            <v>Male</v>
          </cell>
          <cell r="F109">
            <v>46048</v>
          </cell>
          <cell r="G109">
            <v>46108</v>
          </cell>
          <cell r="H109">
            <v>46138</v>
          </cell>
          <cell r="I109">
            <v>46167</v>
          </cell>
          <cell r="J109" t="str">
            <v>0 ปี 3 เดือน 29 วัน</v>
          </cell>
          <cell r="K109" t="str">
            <v>Production</v>
          </cell>
          <cell r="L109" t="str">
            <v>Production Engineer</v>
          </cell>
          <cell r="M109" t="str">
            <v>Production</v>
          </cell>
          <cell r="N109">
            <v>36379</v>
          </cell>
          <cell r="O109">
            <v>26</v>
          </cell>
          <cell r="P109">
            <v>949586353</v>
          </cell>
          <cell r="Q109" t="str">
            <v>1-4299-00353-26-3</v>
          </cell>
          <cell r="R109" t="str">
            <v>ไทย</v>
          </cell>
          <cell r="S109" t="str">
            <v>泰国</v>
          </cell>
          <cell r="T109" t="str">
            <v>ป.ตรี</v>
          </cell>
          <cell r="U109" t="str">
            <v>129 ม.5 หนองหิน อ.หนองหิน จ.เลย</v>
          </cell>
          <cell r="V109" t="str">
            <v>284 Grand Esie ม.4 ต.ปลวกแดง</v>
          </cell>
          <cell r="W109" t="str">
            <v>รายเดือน</v>
          </cell>
        </row>
        <row r="110">
          <cell r="B110">
            <v>69011</v>
          </cell>
          <cell r="C110" t="str">
            <v>นายธิราทร  ยศสันเทียะ</v>
          </cell>
          <cell r="D110" t="str">
            <v>MR.THIRATHON YOTSANTHIA</v>
          </cell>
          <cell r="E110" t="str">
            <v>Male</v>
          </cell>
          <cell r="F110">
            <v>46055</v>
          </cell>
          <cell r="G110">
            <v>46115</v>
          </cell>
          <cell r="H110">
            <v>46145</v>
          </cell>
          <cell r="I110">
            <v>46174</v>
          </cell>
          <cell r="J110" t="str">
            <v>0 ปี 3 เดือน 23 วัน</v>
          </cell>
          <cell r="K110" t="str">
            <v>ประกอบ</v>
          </cell>
          <cell r="L110" t="str">
            <v>ฝ่ายซ่อมบำรุงเครื่องจักร
机械维修部</v>
          </cell>
          <cell r="M110" t="str">
            <v>Assembly</v>
          </cell>
          <cell r="N110">
            <v>38045</v>
          </cell>
          <cell r="O110">
            <v>22</v>
          </cell>
          <cell r="P110" t="str">
            <v>098-296-7115</v>
          </cell>
          <cell r="Q110" t="str">
            <v>1-3099-03130-25-8</v>
          </cell>
          <cell r="R110" t="str">
            <v>ไทย</v>
          </cell>
          <cell r="S110" t="str">
            <v>泰国</v>
          </cell>
          <cell r="T110" t="str">
            <v>ปวช.</v>
          </cell>
          <cell r="U110" t="str">
            <v>1 ม.1 ต.ค้างพลู อ.โนนไทย จ.นครราชสีมา</v>
          </cell>
          <cell r="V110" t="str">
            <v>หอพักบ้านณัฐพัชญ์ ต.มาบยางพร อ.ปลวกแดง จ.ระยอง</v>
          </cell>
          <cell r="W110" t="str">
            <v>รายเดือน</v>
          </cell>
        </row>
        <row r="111">
          <cell r="B111">
            <v>69013</v>
          </cell>
          <cell r="C111" t="str">
            <v>นางสาววนิดา วิเชียร</v>
          </cell>
          <cell r="D111" t="str">
            <v>MS.VANIDA WICHIAN</v>
          </cell>
          <cell r="E111" t="str">
            <v>Female</v>
          </cell>
          <cell r="F111">
            <v>46067</v>
          </cell>
          <cell r="G111">
            <v>46127</v>
          </cell>
          <cell r="H111">
            <v>46157</v>
          </cell>
          <cell r="I111">
            <v>46186</v>
          </cell>
          <cell r="J111" t="str">
            <v>0 ปี 3 เดือน 11 วัน</v>
          </cell>
          <cell r="K111" t="str">
            <v>ตรวจสอบคุณภาพ</v>
          </cell>
          <cell r="L111" t="str">
            <v>检验员QC
เจ้าหน้าที่ QC</v>
          </cell>
          <cell r="M111" t="str">
            <v>Quality</v>
          </cell>
          <cell r="N111">
            <v>36735</v>
          </cell>
          <cell r="O111">
            <v>25</v>
          </cell>
          <cell r="P111" t="str">
            <v>091-703-8190</v>
          </cell>
          <cell r="Q111" t="str">
            <v>1-4609-00110-55-9</v>
          </cell>
          <cell r="R111" t="str">
            <v>ไทย</v>
          </cell>
          <cell r="S111" t="str">
            <v>泰国</v>
          </cell>
          <cell r="T111" t="str">
            <v>ปวช.</v>
          </cell>
          <cell r="U111" t="str">
            <v>99 หมู่ที่ 12 ต.โนนแหลมทอง อ.สหัสขันธ์ จ.กาฬสินธุ์</v>
          </cell>
          <cell r="V111" t="str">
            <v>301/32 หมู่ที่ 4 ต.ปลวกแดง อ.ปลวกแดง จ.ระยอง</v>
          </cell>
          <cell r="W111" t="str">
            <v>รายเดือน</v>
          </cell>
        </row>
        <row r="112">
          <cell r="B112">
            <v>69015</v>
          </cell>
          <cell r="C112" t="str">
            <v>นายรณกฤต กาทอง</v>
          </cell>
          <cell r="D112" t="str">
            <v>MR.RONNAKIT KATHONG</v>
          </cell>
          <cell r="E112" t="str">
            <v>Female</v>
          </cell>
          <cell r="F112">
            <v>46069</v>
          </cell>
          <cell r="G112">
            <v>46129</v>
          </cell>
          <cell r="H112">
            <v>46159</v>
          </cell>
          <cell r="I112">
            <v>46188</v>
          </cell>
          <cell r="J112" t="str">
            <v>0 ปี 3 เดือน 9 วัน</v>
          </cell>
          <cell r="K112" t="str">
            <v>ซ่อมบำรุง</v>
          </cell>
          <cell r="L112" t="str">
            <v>维修摸具
ช่างซ่อมแม่พิมพ์</v>
          </cell>
          <cell r="M112" t="str">
            <v>Equipment</v>
          </cell>
          <cell r="N112">
            <v>37569</v>
          </cell>
          <cell r="O112">
            <v>23</v>
          </cell>
          <cell r="P112" t="str">
            <v>093-375-1793</v>
          </cell>
          <cell r="Q112" t="str">
            <v>1-1297-01275-56-7</v>
          </cell>
          <cell r="R112" t="str">
            <v>ไทย</v>
          </cell>
          <cell r="S112" t="str">
            <v>泰国</v>
          </cell>
          <cell r="T112" t="str">
            <v>ปวช.</v>
          </cell>
          <cell r="U112" t="str">
            <v>52 หมู่ที่ 9 ต.ตู่ลาด อ.ทรายมูล จ.ยโสธร</v>
          </cell>
          <cell r="V112" t="str">
            <v>968/142 หมู่ที่ 2 ต.ตาสิทธิ์ อ.ปลวกแดง จ.ระยอง</v>
          </cell>
          <cell r="W112" t="str">
            <v>รายเดือน</v>
          </cell>
        </row>
        <row r="113">
          <cell r="B113">
            <v>69016</v>
          </cell>
          <cell r="C113" t="str">
            <v>นายสุริยา  ตาเปี้ยสืบ</v>
          </cell>
          <cell r="D113" t="str">
            <v>MR.SURIYA TAPEASUEB</v>
          </cell>
          <cell r="E113" t="str">
            <v>Female</v>
          </cell>
          <cell r="F113">
            <v>46070</v>
          </cell>
          <cell r="G113">
            <v>46130</v>
          </cell>
          <cell r="H113">
            <v>46160</v>
          </cell>
          <cell r="I113">
            <v>46189</v>
          </cell>
          <cell r="J113" t="str">
            <v>0 ปี 3 เดือน 8 วัน</v>
          </cell>
          <cell r="K113" t="str">
            <v>CNC</v>
          </cell>
          <cell r="L113" t="str">
            <v>CNC Leader</v>
          </cell>
          <cell r="M113" t="str">
            <v>CNC</v>
          </cell>
          <cell r="N113">
            <v>34346</v>
          </cell>
          <cell r="O113">
            <v>32</v>
          </cell>
          <cell r="P113" t="str">
            <v>080-129-1697</v>
          </cell>
          <cell r="Q113" t="str">
            <v>1-5202-00044-90-1</v>
          </cell>
          <cell r="R113" t="str">
            <v>ไทย</v>
          </cell>
          <cell r="S113" t="str">
            <v>泰国</v>
          </cell>
          <cell r="T113" t="str">
            <v>ปวส.</v>
          </cell>
          <cell r="U113" t="str">
            <v>84 ม.2 ต.นาสัก อ.แม่เมาะ จ.ลำปาง</v>
          </cell>
          <cell r="V113" t="str">
            <v>363 ม.3 ต.มาบยางพร อ.ปลวกแดง จ.ระยอง</v>
          </cell>
          <cell r="W113" t="str">
            <v>รายเดือน</v>
          </cell>
        </row>
        <row r="114">
          <cell r="B114">
            <v>69017</v>
          </cell>
          <cell r="C114" t="str">
            <v>นางสาวสิราวรรณ ประเสริฐสังข์</v>
          </cell>
          <cell r="D114" t="str">
            <v>MS.SIRAWAN PRASROETHSANG</v>
          </cell>
          <cell r="E114" t="str">
            <v>Female</v>
          </cell>
          <cell r="F114">
            <v>46074</v>
          </cell>
          <cell r="G114">
            <v>46134</v>
          </cell>
          <cell r="H114">
            <v>46164</v>
          </cell>
          <cell r="I114">
            <v>46193</v>
          </cell>
          <cell r="J114" t="str">
            <v>0 ปี 3 เดือน 4 วัน</v>
          </cell>
          <cell r="K114" t="str">
            <v>ประกอบ</v>
          </cell>
          <cell r="L114" t="str">
            <v>组装H9
เจ้าหน้าที่ประกอบH9</v>
          </cell>
          <cell r="M114" t="str">
            <v>Assembly</v>
          </cell>
          <cell r="N114">
            <v>36418</v>
          </cell>
          <cell r="O114">
            <v>26</v>
          </cell>
          <cell r="P114" t="str">
            <v>092-867-9171</v>
          </cell>
          <cell r="Q114" t="str">
            <v>1-3610-00317-07-8</v>
          </cell>
          <cell r="R114" t="str">
            <v>ไทย</v>
          </cell>
          <cell r="S114" t="str">
            <v>泰国</v>
          </cell>
          <cell r="T114" t="str">
            <v>ปวช.</v>
          </cell>
          <cell r="U114" t="str">
            <v>409 ม.9 ต.ธาตุทอง อ.ภูเขียว จ.ชัยภูมิ</v>
          </cell>
          <cell r="V114" t="str">
            <v>306/16 ม.2 ซ.มาบยางพร18 ต.มาบยางพร อ.ปลวกแดง จ.ระยอง</v>
          </cell>
          <cell r="W114" t="str">
            <v>รายเดือน</v>
          </cell>
          <cell r="X114" t="str">
            <v>ปรับมาจากซัพฯ</v>
          </cell>
        </row>
        <row r="115">
          <cell r="B115">
            <v>69020</v>
          </cell>
          <cell r="C115" t="str">
            <v>นายภูมิรพี  ดุริยดำรงกุล</v>
          </cell>
          <cell r="D115" t="str">
            <v>MR.POOMRAPEE DURIYADUMRONGKUL</v>
          </cell>
          <cell r="E115" t="str">
            <v>Male</v>
          </cell>
          <cell r="F115">
            <v>46074</v>
          </cell>
          <cell r="G115">
            <v>46134</v>
          </cell>
          <cell r="H115">
            <v>46164</v>
          </cell>
          <cell r="I115">
            <v>46193</v>
          </cell>
          <cell r="J115" t="str">
            <v>0 ปี 3 เดือน 4 วัน</v>
          </cell>
          <cell r="K115" t="str">
            <v>หลอมอลูมิเนียม</v>
          </cell>
          <cell r="L115" t="str">
            <v>压铸厂
ฝ่ายหลอมอลูมิเนียม</v>
          </cell>
          <cell r="M115" t="str">
            <v>Die Casting</v>
          </cell>
          <cell r="N115">
            <v>35374</v>
          </cell>
          <cell r="O115">
            <v>29</v>
          </cell>
          <cell r="P115" t="str">
            <v>084-036-2177</v>
          </cell>
          <cell r="Q115" t="str">
            <v>1-2009-01252-60-0</v>
          </cell>
          <cell r="R115" t="str">
            <v>ไทย</v>
          </cell>
          <cell r="S115" t="str">
            <v>泰国</v>
          </cell>
          <cell r="T115" t="str">
            <v>ม.3</v>
          </cell>
          <cell r="U115" t="str">
            <v>85/28 ถ.มาบยา ต.มาบตาพุด อ.เมือง จ. ระยอง</v>
          </cell>
          <cell r="V115" t="str">
            <v>366 ซ.8 ม.6 ต.พนานิคม อ.นิคมพัฒนา จ.ระยอง</v>
          </cell>
          <cell r="W115" t="str">
            <v>รายเดือน</v>
          </cell>
          <cell r="X115" t="str">
            <v>ปรับมาจากซัพฯ</v>
          </cell>
        </row>
        <row r="116">
          <cell r="B116">
            <v>69021</v>
          </cell>
          <cell r="C116" t="str">
            <v>นายจักรินทร์  คะสาร</v>
          </cell>
          <cell r="D116" t="str">
            <v>MR.JAKKARIN KASAN</v>
          </cell>
          <cell r="E116" t="str">
            <v>Male</v>
          </cell>
          <cell r="F116">
            <v>46074</v>
          </cell>
          <cell r="G116">
            <v>46134</v>
          </cell>
          <cell r="H116">
            <v>46164</v>
          </cell>
          <cell r="I116">
            <v>46193</v>
          </cell>
          <cell r="J116" t="str">
            <v>0 ปี 3 เดือน 4 วัน</v>
          </cell>
          <cell r="K116" t="str">
            <v>Stamping</v>
          </cell>
          <cell r="L116" t="str">
            <v>冲压操作工300T
เจ้าหน้าที่ปั๊มงาน300ตัน</v>
          </cell>
          <cell r="M116" t="str">
            <v>Stamping</v>
          </cell>
          <cell r="N116">
            <v>37354</v>
          </cell>
          <cell r="O116">
            <v>24</v>
          </cell>
          <cell r="P116" t="str">
            <v>061-572-2246</v>
          </cell>
          <cell r="Q116" t="str">
            <v>1-3994-00009-39-4</v>
          </cell>
          <cell r="R116" t="str">
            <v>ไทย</v>
          </cell>
          <cell r="S116" t="str">
            <v>泰国</v>
          </cell>
          <cell r="T116" t="str">
            <v>ม.6</v>
          </cell>
          <cell r="U116" t="str">
            <v>88 ม.5 ต.เก่ากลอย อ.นากลาง จ.หนองบัวลำภู</v>
          </cell>
          <cell r="V116" t="str">
            <v>26/86 ม.2 ซ.13 ต.มะขามคู่ อ.นิคมพัฒนา จ.ระยอง</v>
          </cell>
          <cell r="W116" t="str">
            <v>รายเดือน</v>
          </cell>
          <cell r="X116" t="str">
            <v>ปรับมาจากซัพฯ</v>
          </cell>
        </row>
        <row r="117">
          <cell r="B117">
            <v>69022</v>
          </cell>
          <cell r="C117" t="str">
            <v>นายนัฐวุฒิ  เสย์</v>
          </cell>
          <cell r="D117" t="str">
            <v>MR.NATTHAWUT SAY</v>
          </cell>
          <cell r="E117" t="str">
            <v>Male</v>
          </cell>
          <cell r="F117">
            <v>46074</v>
          </cell>
          <cell r="G117">
            <v>46134</v>
          </cell>
          <cell r="H117">
            <v>46164</v>
          </cell>
          <cell r="I117">
            <v>46193</v>
          </cell>
          <cell r="J117" t="str">
            <v>0 ปี 3 เดือน 4 วัน</v>
          </cell>
          <cell r="K117" t="str">
            <v>Stamping</v>
          </cell>
          <cell r="L117" t="str">
            <v>冲压操作工150T
เจ้าหน้าที่ปั๊มงาน150ตัน</v>
          </cell>
          <cell r="M117" t="str">
            <v>Stamping</v>
          </cell>
          <cell r="N117">
            <v>34115</v>
          </cell>
          <cell r="O117">
            <v>32</v>
          </cell>
          <cell r="P117" t="str">
            <v>094-876-4668</v>
          </cell>
          <cell r="Q117" t="str">
            <v>1-4803-00135-38-1</v>
          </cell>
          <cell r="R117" t="str">
            <v>ไทย</v>
          </cell>
          <cell r="S117" t="str">
            <v>泰国</v>
          </cell>
          <cell r="T117" t="str">
            <v>ม.3</v>
          </cell>
          <cell r="U117" t="str">
            <v>71 หมู่ที่ 8 ต.ท่าตูม อ.ท่าตูม จ.สุรินทร์</v>
          </cell>
          <cell r="V117" t="str">
            <v>295 ม.6 ต.มาบยางพร อ.ปลวกแดง จ.ระยอง 21140</v>
          </cell>
          <cell r="W117" t="str">
            <v>รายเดือน</v>
          </cell>
          <cell r="X117" t="str">
            <v>ปรับมาจากซัพฯ</v>
          </cell>
        </row>
        <row r="118">
          <cell r="B118">
            <v>69025</v>
          </cell>
          <cell r="C118" t="str">
            <v>นางสาววิภาวี  พันธุมาตร์</v>
          </cell>
          <cell r="D118" t="str">
            <v>MS.WIPHAWI PHANTHAMAT</v>
          </cell>
          <cell r="E118" t="str">
            <v>Female</v>
          </cell>
          <cell r="F118">
            <v>46077</v>
          </cell>
          <cell r="G118">
            <v>46137</v>
          </cell>
          <cell r="H118">
            <v>46167</v>
          </cell>
          <cell r="I118">
            <v>46196</v>
          </cell>
          <cell r="J118" t="str">
            <v>0 ปี 3 เดือน 1 วัน</v>
          </cell>
          <cell r="K118" t="str">
            <v>ตรวจสอบคุณภาพ</v>
          </cell>
          <cell r="L118" t="str">
            <v>检验员QC
เจ้าหน้าที่ QC</v>
          </cell>
          <cell r="M118" t="str">
            <v>Quality</v>
          </cell>
          <cell r="N118">
            <v>36386</v>
          </cell>
          <cell r="O118">
            <v>26</v>
          </cell>
          <cell r="P118" t="str">
            <v>090-220-0249</v>
          </cell>
          <cell r="Q118" t="str">
            <v>1-2104-00071-75-1</v>
          </cell>
          <cell r="R118" t="str">
            <v>ไทย</v>
          </cell>
          <cell r="S118" t="str">
            <v>泰国</v>
          </cell>
          <cell r="T118" t="str">
            <v>ปวส.</v>
          </cell>
          <cell r="U118" t="str">
            <v>146 ม.13 ต.กกตูม อ.ดงหลวง จ.มุกดาหาร</v>
          </cell>
          <cell r="V118" t="str">
            <v>146/13 บ้านแก่งนาง ต.กกตูม อ.ดงหลวง จ.มุกดาหาร</v>
          </cell>
          <cell r="W118" t="str">
            <v>รายเดือน</v>
          </cell>
        </row>
        <row r="119">
          <cell r="B119">
            <v>69029</v>
          </cell>
          <cell r="C119" t="str">
            <v>นายณัฐวุฒิ ลาวรรณ</v>
          </cell>
          <cell r="D119" t="str">
            <v>MR.NATTHAWUT LAWAN</v>
          </cell>
          <cell r="E119" t="str">
            <v>Male</v>
          </cell>
          <cell r="F119">
            <v>46083</v>
          </cell>
          <cell r="G119">
            <v>46143</v>
          </cell>
          <cell r="H119">
            <v>46173</v>
          </cell>
          <cell r="I119">
            <v>46202</v>
          </cell>
          <cell r="J119" t="str">
            <v>0 ปี 2 เดือน 23 วัน</v>
          </cell>
          <cell r="K119" t="str">
            <v>ตรวจสอบคุณภาพ</v>
          </cell>
          <cell r="L119" t="str">
            <v>检验员QC
เจ้าหน้าที่ QC</v>
          </cell>
          <cell r="M119" t="str">
            <v>Quality</v>
          </cell>
          <cell r="N119">
            <v>32866</v>
          </cell>
          <cell r="O119">
            <v>36</v>
          </cell>
          <cell r="P119" t="str">
            <v>088-317-4240</v>
          </cell>
          <cell r="Q119" t="str">
            <v>1-4511-00158-32-9</v>
          </cell>
          <cell r="R119" t="str">
            <v>ไทย</v>
          </cell>
          <cell r="S119" t="str">
            <v>泰国</v>
          </cell>
          <cell r="T119" t="str">
            <v>ปวส.</v>
          </cell>
          <cell r="U119" t="str">
            <v>236 ม.13 ต.นาใหญ่ อ.สุวรรณภูมิ จ.ร้อยเอ็ด</v>
          </cell>
          <cell r="V119" t="str">
            <v>ดีซีแมนชั่น 321 ม.6 ถ.อมตะซิตี้ ต.มาบยางพร อ.ปลวกแดง จ.ระยอง 21140</v>
          </cell>
          <cell r="W119" t="str">
            <v>รายเดือน</v>
          </cell>
        </row>
        <row r="120">
          <cell r="B120">
            <v>69030</v>
          </cell>
          <cell r="C120" t="str">
            <v>นายอนันทการณ์ กงชุย</v>
          </cell>
          <cell r="D120" t="str">
            <v>MR.ANANTAKAN KONGSUY</v>
          </cell>
          <cell r="E120" t="str">
            <v>Male</v>
          </cell>
          <cell r="F120">
            <v>46085</v>
          </cell>
          <cell r="G120">
            <v>46145</v>
          </cell>
          <cell r="H120">
            <v>46175</v>
          </cell>
          <cell r="I120">
            <v>46204</v>
          </cell>
          <cell r="J120" t="str">
            <v>0 ปี 2 เดือน 21 วัน</v>
          </cell>
          <cell r="K120" t="str">
            <v>ซ่อมบำรุง</v>
          </cell>
          <cell r="L120" t="str">
            <v>ฝ่ายซ่อมบำรุงเครื่องจักร
机械维修部</v>
          </cell>
          <cell r="M120" t="str">
            <v>Equipment</v>
          </cell>
          <cell r="N120">
            <v>38151</v>
          </cell>
          <cell r="O120">
            <v>21</v>
          </cell>
          <cell r="P120" t="str">
            <v>091-723-5853</v>
          </cell>
          <cell r="Q120" t="str">
            <v>1-3681-00026-15-2</v>
          </cell>
          <cell r="R120" t="str">
            <v>ไทย</v>
          </cell>
          <cell r="S120" t="str">
            <v>泰国</v>
          </cell>
          <cell r="T120" t="str">
            <v>ปวส.</v>
          </cell>
          <cell r="U120" t="str">
            <v>236 ม.9 ต.หนองไผ่ อ.แก้งคร้อ จ.ชัยภูมิ</v>
          </cell>
          <cell r="V120" t="str">
            <v>237 ม.9 ต.หนองไผ่ อ.แก้งคร้อ จ.ชัยภูมิ</v>
          </cell>
          <cell r="W120" t="str">
            <v>รายเดือน</v>
          </cell>
        </row>
        <row r="121">
          <cell r="B121">
            <v>69031</v>
          </cell>
          <cell r="C121" t="str">
            <v>นายภรัณยู  สอนเสนา</v>
          </cell>
          <cell r="D121" t="str">
            <v>MR.PARANYU SONSENA</v>
          </cell>
          <cell r="E121" t="str">
            <v>Male</v>
          </cell>
          <cell r="F121">
            <v>46085</v>
          </cell>
          <cell r="G121">
            <v>46145</v>
          </cell>
          <cell r="H121">
            <v>46175</v>
          </cell>
          <cell r="I121">
            <v>46204</v>
          </cell>
          <cell r="J121" t="str">
            <v>0 ปี 2 เดือน 21 วัน</v>
          </cell>
          <cell r="K121" t="str">
            <v>ซ่อมบำรุง</v>
          </cell>
          <cell r="L121" t="str">
            <v>维修摸具
ช่างซ่อมแม่พิมพ์</v>
          </cell>
          <cell r="M121" t="str">
            <v>Equipment</v>
          </cell>
          <cell r="N121">
            <v>34605</v>
          </cell>
          <cell r="O121">
            <v>31</v>
          </cell>
          <cell r="P121" t="str">
            <v>093-952-0981</v>
          </cell>
          <cell r="Q121" t="str">
            <v>1-4099-01217-66-5</v>
          </cell>
          <cell r="R121" t="str">
            <v>ไทย</v>
          </cell>
          <cell r="S121" t="str">
            <v>泰国</v>
          </cell>
          <cell r="T121" t="str">
            <v>ปวส.</v>
          </cell>
          <cell r="U121" t="str">
            <v>82 ม.7 ต.เลิงใต้ อ.โกสุมพิสัย จ.มหาสารคาม</v>
          </cell>
          <cell r="V121" t="str">
            <v>495/3 ม.4 ต.พนานิคม อ.นิคมพัฒนา จ.ระยอง</v>
          </cell>
          <cell r="W121" t="str">
            <v>รายเดือน</v>
          </cell>
        </row>
        <row r="122">
          <cell r="B122">
            <v>69032</v>
          </cell>
          <cell r="C122" t="str">
            <v>นายธนพล การกระสัง</v>
          </cell>
          <cell r="D122" t="str">
            <v>MR.THANAPOL KANKRASANG</v>
          </cell>
          <cell r="E122" t="str">
            <v>Male</v>
          </cell>
          <cell r="F122">
            <v>46086</v>
          </cell>
          <cell r="G122">
            <v>46146</v>
          </cell>
          <cell r="H122">
            <v>46176</v>
          </cell>
          <cell r="I122">
            <v>46205</v>
          </cell>
          <cell r="J122" t="str">
            <v>0 ปี 2 เดือน 20 วัน</v>
          </cell>
          <cell r="K122" t="str">
            <v>ตรวจสอบคุณภาพ</v>
          </cell>
          <cell r="L122" t="str">
            <v>QA Engineer</v>
          </cell>
          <cell r="M122" t="str">
            <v>Quality</v>
          </cell>
          <cell r="N122">
            <v>35704</v>
          </cell>
          <cell r="O122">
            <v>28</v>
          </cell>
          <cell r="P122" t="str">
            <v>093-184-8262</v>
          </cell>
          <cell r="Q122" t="str">
            <v>1-4807-0018-87-6</v>
          </cell>
          <cell r="R122" t="str">
            <v>ไทย</v>
          </cell>
          <cell r="S122" t="str">
            <v>泰国</v>
          </cell>
          <cell r="T122" t="str">
            <v>ป.ตรี</v>
          </cell>
          <cell r="U122" t="str">
            <v>300 ม.14 บ้านนดอนคราม ต.ก้านเหลือ อ.นาแก จ.นครพนม</v>
          </cell>
          <cell r="V122" t="str">
            <v>99/99 หอพักเดอะโจ๊ก ถ.สุขุมวิท23 ต.มาบตาพุด อ.เมือง จ.ระยอง</v>
          </cell>
          <cell r="W122" t="str">
            <v>รายเดือน</v>
          </cell>
        </row>
        <row r="123">
          <cell r="B123">
            <v>69033</v>
          </cell>
          <cell r="C123" t="str">
            <v>นายอำนวยชัย แหวนเงิน</v>
          </cell>
          <cell r="D123" t="str">
            <v>MR.AMNUAICHAI WAENGOEN</v>
          </cell>
          <cell r="E123" t="str">
            <v>Male</v>
          </cell>
          <cell r="F123">
            <v>46087</v>
          </cell>
          <cell r="G123">
            <v>46147</v>
          </cell>
          <cell r="H123">
            <v>46177</v>
          </cell>
          <cell r="I123">
            <v>46206</v>
          </cell>
          <cell r="J123" t="str">
            <v>0 ปี 2 เดือน 19 วัน</v>
          </cell>
          <cell r="K123" t="str">
            <v>ซ่อมบำรุง</v>
          </cell>
          <cell r="L123" t="str">
            <v>ช่างซ่อมบำรุง
维修技术员</v>
          </cell>
          <cell r="M123" t="str">
            <v>Equipment</v>
          </cell>
          <cell r="N123">
            <v>34959</v>
          </cell>
          <cell r="O123">
            <v>30</v>
          </cell>
          <cell r="P123" t="str">
            <v>093-079-2373</v>
          </cell>
          <cell r="Q123" t="str">
            <v>1-3307-00157-75-7</v>
          </cell>
          <cell r="R123" t="str">
            <v>ไทย</v>
          </cell>
          <cell r="S123" t="str">
            <v>泰国</v>
          </cell>
          <cell r="T123" t="str">
            <v>ป.ตรี</v>
          </cell>
          <cell r="U123" t="str">
            <v>7 หมู่ที่ 5 ต.กู่ อ.ปรางค์กู่ จ.ศรีสะเกษ</v>
          </cell>
          <cell r="V123" t="str">
            <v>83 หมู่ที่ 6 ต.มาบยางพร อ.ปลวกแดง จ.ระยอง</v>
          </cell>
          <cell r="W123" t="str">
            <v>รายเดือน</v>
          </cell>
        </row>
        <row r="124">
          <cell r="B124">
            <v>69034</v>
          </cell>
          <cell r="C124" t="str">
            <v>นายอดิศักดิ์ สีแสง</v>
          </cell>
          <cell r="D124" t="str">
            <v>MR.ADISAK SEESAENG</v>
          </cell>
          <cell r="E124" t="str">
            <v>Male</v>
          </cell>
          <cell r="F124">
            <v>46090</v>
          </cell>
          <cell r="G124">
            <v>46150</v>
          </cell>
          <cell r="H124">
            <v>46180</v>
          </cell>
          <cell r="I124">
            <v>46209</v>
          </cell>
          <cell r="J124" t="str">
            <v>0 ปี 2 เดือน 16 วัน</v>
          </cell>
          <cell r="K124" t="str">
            <v>คลังสินค้า</v>
          </cell>
          <cell r="L124" t="str">
            <v>仓库管理员
คลังสินค้า (ขับโฟร์คลิฟท์)</v>
          </cell>
          <cell r="M124" t="str">
            <v>Warehouse</v>
          </cell>
          <cell r="N124">
            <v>34704</v>
          </cell>
          <cell r="O124">
            <v>31</v>
          </cell>
          <cell r="P124" t="str">
            <v>083-797-9761</v>
          </cell>
          <cell r="Q124" t="str">
            <v>1-1018-00712-15-1</v>
          </cell>
          <cell r="R124" t="str">
            <v>ไทย</v>
          </cell>
          <cell r="S124" t="str">
            <v>泰国</v>
          </cell>
          <cell r="T124" t="str">
            <v>ม.6</v>
          </cell>
          <cell r="U124" t="str">
            <v>2999/29 ม.6 ต.มาบยางพร อ.ปลวกแดง จ.ระยอง</v>
          </cell>
          <cell r="V124" t="str">
            <v>2999/29 ม.6 ต.มาบยางพร อ.ปลวกแดง จ.ระยอง</v>
          </cell>
          <cell r="W124" t="str">
            <v>รายเดือน</v>
          </cell>
        </row>
        <row r="125">
          <cell r="B125">
            <v>69035</v>
          </cell>
          <cell r="C125" t="str">
            <v>นายอนุสรณ์ จิตณรงค์</v>
          </cell>
          <cell r="D125" t="str">
            <v>MR.ANUSORN JITNARONG</v>
          </cell>
          <cell r="E125" t="str">
            <v>Male</v>
          </cell>
          <cell r="F125">
            <v>46097</v>
          </cell>
          <cell r="G125">
            <v>46157</v>
          </cell>
          <cell r="H125">
            <v>46187</v>
          </cell>
          <cell r="I125">
            <v>46216</v>
          </cell>
          <cell r="J125" t="str">
            <v>0 ปี 2 เดือน 9 วัน</v>
          </cell>
          <cell r="K125" t="str">
            <v>ซ่อมบำรุง</v>
          </cell>
          <cell r="L125" t="str">
            <v>维修摸具
ช่างซ่อมแม่พิมพ์</v>
          </cell>
          <cell r="M125" t="str">
            <v>Equipment</v>
          </cell>
          <cell r="N125">
            <v>36387</v>
          </cell>
          <cell r="O125">
            <v>26</v>
          </cell>
          <cell r="P125" t="str">
            <v>092-406-9104</v>
          </cell>
          <cell r="Q125" t="str">
            <v>1-3210-00403-31-4</v>
          </cell>
          <cell r="R125" t="str">
            <v>ไทย</v>
          </cell>
          <cell r="S125" t="str">
            <v>泰国</v>
          </cell>
          <cell r="T125" t="str">
            <v>ม.6</v>
          </cell>
          <cell r="U125" t="str">
            <v>56 ม.12ต.สะกาด อ.สะกะ จ.สุรินทร์</v>
          </cell>
          <cell r="V125" t="str">
            <v>312/286 ม.5 ต.เขาไม้แก้ว อ.บางละมุง จ.ชลบุรี</v>
          </cell>
          <cell r="W125" t="str">
            <v>รายเดือน</v>
          </cell>
        </row>
        <row r="126">
          <cell r="B126">
            <v>69037</v>
          </cell>
          <cell r="C126" t="str">
            <v>นายสุรชัย คงสัตย์</v>
          </cell>
          <cell r="D126" t="str">
            <v>MR.SURACHAI KONGSAT</v>
          </cell>
          <cell r="E126" t="str">
            <v>Male</v>
          </cell>
          <cell r="F126">
            <v>46097</v>
          </cell>
          <cell r="G126">
            <v>46157</v>
          </cell>
          <cell r="H126">
            <v>46187</v>
          </cell>
          <cell r="I126">
            <v>46216</v>
          </cell>
          <cell r="J126" t="str">
            <v>0 ปี 2 เดือน 9 วัน</v>
          </cell>
          <cell r="K126" t="str">
            <v>คลังสินค้า</v>
          </cell>
          <cell r="L126" t="str">
            <v>仓库管理员
คลังสินค้า (ขับโฟร์คลิฟท์)</v>
          </cell>
          <cell r="M126" t="str">
            <v>Warehouse</v>
          </cell>
          <cell r="N126">
            <v>28824</v>
          </cell>
          <cell r="O126">
            <v>47</v>
          </cell>
          <cell r="P126" t="str">
            <v>097-320-6247</v>
          </cell>
          <cell r="Q126" t="str">
            <v>3-2105-00671-03-9</v>
          </cell>
          <cell r="R126" t="str">
            <v>ไทย</v>
          </cell>
          <cell r="S126" t="str">
            <v>泰国</v>
          </cell>
          <cell r="T126" t="str">
            <v>ปวส.</v>
          </cell>
          <cell r="U126" t="str">
            <v>55/35 ม.6 ต.นิคมพัฒนา อ.นิคมพัฒนา จ.ระยอง</v>
          </cell>
          <cell r="V126" t="str">
            <v>55/35 ม.6 ต.นิคมพัฒนา อ.นิคมพัฒนา จ.ระยอง</v>
          </cell>
          <cell r="W126" t="str">
            <v>รายเดือน</v>
          </cell>
        </row>
        <row r="127">
          <cell r="B127">
            <v>69038</v>
          </cell>
          <cell r="C127" t="str">
            <v>MR.SU,PENGFEI</v>
          </cell>
          <cell r="D127" t="str">
            <v>MR.SU,PENGFEI</v>
          </cell>
          <cell r="E127" t="str">
            <v>Male</v>
          </cell>
          <cell r="F127">
            <v>46087</v>
          </cell>
          <cell r="G127">
            <v>46147</v>
          </cell>
          <cell r="H127">
            <v>46177</v>
          </cell>
          <cell r="I127">
            <v>46206</v>
          </cell>
          <cell r="J127" t="str">
            <v>0 ปี 2 เดือน 19 วัน</v>
          </cell>
          <cell r="K127" t="str">
            <v>ตรวจสอบคุณภาพ</v>
          </cell>
          <cell r="L127" t="str">
            <v>QC Engineer</v>
          </cell>
          <cell r="M127" t="str">
            <v>Quality</v>
          </cell>
          <cell r="N127">
            <v>34315</v>
          </cell>
          <cell r="O127">
            <v>32</v>
          </cell>
          <cell r="Q127" t="str">
            <v>ER3467402</v>
          </cell>
          <cell r="R127" t="str">
            <v>CHINESE</v>
          </cell>
          <cell r="S127" t="str">
            <v>中国籍</v>
          </cell>
          <cell r="W127" t="str">
            <v>รายเดือน</v>
          </cell>
        </row>
        <row r="128">
          <cell r="B128">
            <v>69039</v>
          </cell>
          <cell r="C128" t="str">
            <v>MR.JIANG,AIDONG</v>
          </cell>
          <cell r="D128" t="str">
            <v>MR.JIANG,AIDONG</v>
          </cell>
          <cell r="E128" t="str">
            <v>Male</v>
          </cell>
          <cell r="F128">
            <v>46087</v>
          </cell>
          <cell r="G128">
            <v>46147</v>
          </cell>
          <cell r="H128">
            <v>46177</v>
          </cell>
          <cell r="I128">
            <v>46206</v>
          </cell>
          <cell r="J128" t="str">
            <v>0 ปี 2 เดือน 19 วัน</v>
          </cell>
          <cell r="K128" t="str">
            <v>ตรวจสอบคุณภาพ</v>
          </cell>
          <cell r="L128" t="str">
            <v>QC Engineer</v>
          </cell>
          <cell r="M128" t="str">
            <v>Quality</v>
          </cell>
          <cell r="N128">
            <v>33923</v>
          </cell>
          <cell r="O128">
            <v>33</v>
          </cell>
          <cell r="Q128" t="str">
            <v>ER3467405</v>
          </cell>
          <cell r="R128" t="str">
            <v>CHINESE</v>
          </cell>
          <cell r="S128" t="str">
            <v>中国籍</v>
          </cell>
          <cell r="W128" t="str">
            <v>รายเดือน</v>
          </cell>
        </row>
        <row r="129">
          <cell r="B129">
            <v>69040</v>
          </cell>
          <cell r="C129" t="str">
            <v>MS.ZHAO,SHOUZHU</v>
          </cell>
          <cell r="D129" t="str">
            <v>MS.ZHAO,SHOUZHU</v>
          </cell>
          <cell r="E129" t="str">
            <v>Female</v>
          </cell>
          <cell r="F129">
            <v>46087</v>
          </cell>
          <cell r="G129">
            <v>46147</v>
          </cell>
          <cell r="H129">
            <v>46177</v>
          </cell>
          <cell r="I129">
            <v>46206</v>
          </cell>
          <cell r="J129" t="str">
            <v>0 ปี 2 เดือน 19 วัน</v>
          </cell>
          <cell r="K129" t="str">
            <v>ตรวจสอบคุณภาพ</v>
          </cell>
          <cell r="L129" t="str">
            <v>质量检验专员เจ้าหน้าที่ QC</v>
          </cell>
          <cell r="M129" t="str">
            <v>Quality</v>
          </cell>
          <cell r="N129">
            <v>37108</v>
          </cell>
          <cell r="O129">
            <v>24</v>
          </cell>
          <cell r="Q129" t="str">
            <v>EJ1888365</v>
          </cell>
          <cell r="R129" t="str">
            <v>CHINESE</v>
          </cell>
          <cell r="S129" t="str">
            <v>中国籍</v>
          </cell>
          <cell r="W129" t="str">
            <v>รายเดือน</v>
          </cell>
        </row>
        <row r="130">
          <cell r="B130">
            <v>69041</v>
          </cell>
          <cell r="C130" t="str">
            <v>MS.WAN,LIYU</v>
          </cell>
          <cell r="D130" t="str">
            <v>MS.WAN,LIYU</v>
          </cell>
          <cell r="E130" t="str">
            <v>Female</v>
          </cell>
          <cell r="F130">
            <v>46087</v>
          </cell>
          <cell r="G130">
            <v>46147</v>
          </cell>
          <cell r="H130">
            <v>46177</v>
          </cell>
          <cell r="I130">
            <v>46206</v>
          </cell>
          <cell r="J130" t="str">
            <v>0 ปี 2 เดือน 19 วัน</v>
          </cell>
          <cell r="K130" t="str">
            <v>ตรวจสอบคุณภาพ</v>
          </cell>
          <cell r="L130" t="str">
            <v>质量检验专员เจ้าหน้าที่ QC</v>
          </cell>
          <cell r="M130" t="str">
            <v>Quality</v>
          </cell>
          <cell r="N130">
            <v>37364</v>
          </cell>
          <cell r="O130">
            <v>24</v>
          </cell>
          <cell r="Q130" t="str">
            <v>EJ7565772</v>
          </cell>
          <cell r="R130" t="str">
            <v>CHINESE</v>
          </cell>
          <cell r="S130" t="str">
            <v>中国籍</v>
          </cell>
          <cell r="W130" t="str">
            <v>รายเดือน</v>
          </cell>
        </row>
        <row r="131">
          <cell r="B131">
            <v>69042</v>
          </cell>
          <cell r="C131" t="str">
            <v>นางสาวมลิวัลย์ มาโสภา</v>
          </cell>
          <cell r="D131" t="str">
            <v>MS.MALIWAN MASOPA</v>
          </cell>
          <cell r="E131" t="str">
            <v>Female</v>
          </cell>
          <cell r="F131">
            <v>46102</v>
          </cell>
          <cell r="G131">
            <v>46162</v>
          </cell>
          <cell r="H131">
            <v>46192</v>
          </cell>
          <cell r="I131">
            <v>46221</v>
          </cell>
          <cell r="J131" t="str">
            <v>0 ปี 2 เดือน 4 วัน</v>
          </cell>
          <cell r="K131" t="str">
            <v>คลังสินค้า</v>
          </cell>
          <cell r="L131" t="str">
            <v>挑选เจ้าหน้าที่คัดงาน</v>
          </cell>
          <cell r="M131" t="str">
            <v>Warehouse</v>
          </cell>
          <cell r="N131">
            <v>35761</v>
          </cell>
          <cell r="O131">
            <v>28</v>
          </cell>
          <cell r="P131" t="str">
            <v>093-065-5605</v>
          </cell>
          <cell r="Q131" t="str">
            <v>1-4099-01615-13-0</v>
          </cell>
          <cell r="R131" t="str">
            <v>ไทย</v>
          </cell>
          <cell r="S131" t="str">
            <v>泰国</v>
          </cell>
          <cell r="T131" t="str">
            <v>ป.ตรี</v>
          </cell>
          <cell r="U131" t="str">
            <v>62 ม.7 ต.หัวขวาง อ.โกสุมพิสัย จ.มหาสารคาม</v>
          </cell>
          <cell r="V131" t="str">
            <v>274/7 ม.2 ต.มะขามคู่ อ.นิคมพัฒนา จ.ระยอง</v>
          </cell>
          <cell r="W131" t="str">
            <v>รายเดือน</v>
          </cell>
        </row>
        <row r="132">
          <cell r="B132">
            <v>69046</v>
          </cell>
          <cell r="C132" t="str">
            <v>นายอานุภาพ ชาววงค์</v>
          </cell>
          <cell r="D132" t="str">
            <v>MR.ARNUPAP CHAOWONG</v>
          </cell>
          <cell r="E132" t="str">
            <v>Male</v>
          </cell>
          <cell r="F132">
            <v>46104</v>
          </cell>
          <cell r="G132">
            <v>46164</v>
          </cell>
          <cell r="H132">
            <v>46194</v>
          </cell>
          <cell r="I132">
            <v>46223</v>
          </cell>
          <cell r="J132" t="str">
            <v>0 ปี 2 เดือน 2 วัน</v>
          </cell>
          <cell r="K132" t="str">
            <v>ซ่อมบำรุง</v>
          </cell>
          <cell r="L132" t="str">
            <v>万能工 ช่างทั่วไป</v>
          </cell>
          <cell r="M132" t="str">
            <v>Equipment</v>
          </cell>
          <cell r="N132">
            <v>37166</v>
          </cell>
          <cell r="O132">
            <v>24</v>
          </cell>
          <cell r="P132" t="str">
            <v>088-620-8618</v>
          </cell>
          <cell r="Q132" t="str">
            <v>1-6702-01282-34-1</v>
          </cell>
          <cell r="R132" t="str">
            <v>ไทย</v>
          </cell>
          <cell r="S132" t="str">
            <v>泰国</v>
          </cell>
          <cell r="T132" t="str">
            <v>ปวส.</v>
          </cell>
          <cell r="U132" t="str">
            <v>108 ม.6 ต.ลาดแก อ.ชนแดน จ.เพชรบูรณ์</v>
          </cell>
          <cell r="V132" t="str">
            <v>14/15 ม.8 พนานิคม อ.นิคมพัฒนา จ.ระยอง</v>
          </cell>
          <cell r="W132" t="str">
            <v>รายเดือน</v>
          </cell>
        </row>
        <row r="133">
          <cell r="B133">
            <v>69048</v>
          </cell>
          <cell r="C133" t="str">
            <v>นายวรวุฒิ นนธิจันทร์</v>
          </cell>
          <cell r="D133" t="str">
            <v>MR.WORAWOOT NONTHICHAN</v>
          </cell>
          <cell r="E133" t="str">
            <v>Male</v>
          </cell>
          <cell r="F133">
            <v>46106</v>
          </cell>
          <cell r="G133">
            <v>46166</v>
          </cell>
          <cell r="H133">
            <v>46196</v>
          </cell>
          <cell r="I133">
            <v>46225</v>
          </cell>
          <cell r="J133" t="str">
            <v>0 ปี 2 เดือน 0 วัน</v>
          </cell>
          <cell r="K133" t="str">
            <v>ตรวจสอบคุณภาพ</v>
          </cell>
          <cell r="L133" t="str">
            <v>Quality Supervisor</v>
          </cell>
          <cell r="M133" t="str">
            <v>Quality</v>
          </cell>
          <cell r="N133">
            <v>30779</v>
          </cell>
          <cell r="O133">
            <v>42</v>
          </cell>
          <cell r="P133" t="str">
            <v>081-3292810</v>
          </cell>
          <cell r="Q133" t="str">
            <v>1-3206-00007-49-4</v>
          </cell>
          <cell r="R133" t="str">
            <v>ไทย</v>
          </cell>
          <cell r="S133" t="str">
            <v>泰国</v>
          </cell>
          <cell r="T133" t="str">
            <v>ป.ตรี</v>
          </cell>
          <cell r="U133" t="str">
            <v>181 ม.5 ต.ด่าน อ.กาบเชิง จ.สุรินทร์</v>
          </cell>
          <cell r="V133" t="str">
            <v>99/ ม.7 ต.บ่อวิน อ.ศรีราชา จ.ชลบุรี</v>
          </cell>
          <cell r="W133" t="str">
            <v>รายเดือน</v>
          </cell>
        </row>
        <row r="134">
          <cell r="B134">
            <v>69049</v>
          </cell>
          <cell r="C134" t="str">
            <v>นายภูริภัทร  สุระขันตี</v>
          </cell>
          <cell r="D134" t="str">
            <v>MR.PHURIPHAT SURAKHANTEE</v>
          </cell>
          <cell r="E134" t="str">
            <v>Male</v>
          </cell>
          <cell r="F134">
            <v>46108</v>
          </cell>
          <cell r="G134">
            <v>46168</v>
          </cell>
          <cell r="H134">
            <v>46198</v>
          </cell>
          <cell r="I134">
            <v>46227</v>
          </cell>
          <cell r="J134" t="str">
            <v>0 ปี 1 เดือน 28 วัน</v>
          </cell>
          <cell r="K134" t="str">
            <v>ซ่อมบำรุง</v>
          </cell>
          <cell r="L134" t="str">
            <v>Electrician H1</v>
          </cell>
          <cell r="M134" t="str">
            <v>Equipment</v>
          </cell>
          <cell r="N134">
            <v>38170</v>
          </cell>
          <cell r="O134">
            <v>21</v>
          </cell>
          <cell r="P134" t="str">
            <v>093-245-5870</v>
          </cell>
          <cell r="Q134" t="str">
            <v>1-1037-03809-63-6</v>
          </cell>
          <cell r="R134" t="str">
            <v>ไทย</v>
          </cell>
          <cell r="S134" t="str">
            <v>泰国</v>
          </cell>
          <cell r="T134" t="str">
            <v>ปวส.</v>
          </cell>
          <cell r="U134" t="str">
            <v>184 ม.8 ต.ส่องดสว อ.ส่องดาว จ.สกลนคร</v>
          </cell>
          <cell r="V134" t="str">
            <v>219 ม.5 ต.มาบยางพร อ.ปลวกแดง จ. ระรอง</v>
          </cell>
          <cell r="W134" t="str">
            <v>รายเดือน</v>
          </cell>
        </row>
        <row r="135">
          <cell r="B135">
            <v>69050</v>
          </cell>
          <cell r="C135" t="str">
            <v>นางสาวสุวรรณา หลวงพิบูลย์</v>
          </cell>
          <cell r="D135" t="str">
            <v>MS.SUWANNA LAUNGPHIBOON</v>
          </cell>
          <cell r="E135" t="str">
            <v>Female</v>
          </cell>
          <cell r="F135">
            <v>46111</v>
          </cell>
          <cell r="G135">
            <v>46171</v>
          </cell>
          <cell r="H135">
            <v>46201</v>
          </cell>
          <cell r="I135">
            <v>46230</v>
          </cell>
          <cell r="J135" t="str">
            <v>0 ปี 1 เดือน 25 วัน</v>
          </cell>
          <cell r="K135" t="str">
            <v>ตรวจสอบคุณภาพ</v>
          </cell>
          <cell r="L135" t="str">
            <v>质量检验专员เจ้าหน้าที่ QC</v>
          </cell>
          <cell r="M135" t="str">
            <v>Quality</v>
          </cell>
          <cell r="N135">
            <v>37988</v>
          </cell>
          <cell r="O135">
            <v>22</v>
          </cell>
          <cell r="P135" t="str">
            <v>081-106-7445</v>
          </cell>
          <cell r="Q135" t="str">
            <v>1-4098-00477-76-9</v>
          </cell>
          <cell r="R135" t="str">
            <v>ไทย</v>
          </cell>
          <cell r="S135" t="str">
            <v>泰国</v>
          </cell>
          <cell r="T135" t="str">
            <v>ม.3</v>
          </cell>
          <cell r="U135" t="str">
            <v>214/7 ต.บ้านต้าย อ.สว่างดินแดน จ.สกลนคร</v>
          </cell>
          <cell r="V135" t="str">
            <v>10/213 ม.4 ต.มาบยางพร อ.ปลวกแดง จ.ระยอง 21140</v>
          </cell>
          <cell r="W135" t="str">
            <v>รายเดือน</v>
          </cell>
        </row>
        <row r="136">
          <cell r="B136">
            <v>69051</v>
          </cell>
          <cell r="C136" t="str">
            <v>นางสาวนิตยา บงแก้ว</v>
          </cell>
          <cell r="D136" t="str">
            <v>MS.NIDTAYA BONGGAEW</v>
          </cell>
          <cell r="E136" t="str">
            <v>Female</v>
          </cell>
          <cell r="F136">
            <v>46113</v>
          </cell>
          <cell r="G136">
            <v>46173</v>
          </cell>
          <cell r="H136">
            <v>46203</v>
          </cell>
          <cell r="I136">
            <v>46232</v>
          </cell>
          <cell r="J136" t="str">
            <v>0 ปี 1 เดือน 24 วัน</v>
          </cell>
          <cell r="K136" t="str">
            <v>ตรวจสอบคุณภาพ</v>
          </cell>
          <cell r="L136" t="str">
            <v>质量检验专员เจ้าหน้าที่ QC</v>
          </cell>
          <cell r="M136" t="str">
            <v>Quality</v>
          </cell>
          <cell r="N136">
            <v>37984</v>
          </cell>
          <cell r="O136">
            <v>22</v>
          </cell>
          <cell r="P136" t="str">
            <v>095-818-3521</v>
          </cell>
          <cell r="Q136" t="str">
            <v>1-4209-01395-10-7</v>
          </cell>
          <cell r="R136" t="str">
            <v>ไทย</v>
          </cell>
          <cell r="S136" t="str">
            <v>泰国</v>
          </cell>
          <cell r="T136" t="str">
            <v>ปวส.</v>
          </cell>
          <cell r="U136" t="str">
            <v>53 ม.14 ต.โคกขมิ้น อ.วังสะพุง จ.เลย</v>
          </cell>
          <cell r="V136" t="str">
            <v>ห้างแก้ว ต.มาบยางพร อ.ปลวกแดง จ.ระยอง</v>
          </cell>
          <cell r="W136" t="str">
            <v>รายเดือน</v>
          </cell>
        </row>
        <row r="137">
          <cell r="B137">
            <v>69052</v>
          </cell>
          <cell r="C137" t="str">
            <v>นางสาวมลิดา สายที</v>
          </cell>
          <cell r="D137" t="str">
            <v>MS.MALIDA SAITEE</v>
          </cell>
          <cell r="E137" t="str">
            <v>Female</v>
          </cell>
          <cell r="F137">
            <v>46114</v>
          </cell>
          <cell r="G137">
            <v>46174</v>
          </cell>
          <cell r="H137">
            <v>46204</v>
          </cell>
          <cell r="I137">
            <v>46233</v>
          </cell>
          <cell r="J137" t="str">
            <v>0 ปี 1 เดือน 23 วัน</v>
          </cell>
          <cell r="K137" t="str">
            <v>ตรวจสอบคุณภาพ</v>
          </cell>
          <cell r="L137" t="str">
            <v>质量检验专员เจ้าหน้าที่ QC</v>
          </cell>
          <cell r="M137" t="str">
            <v>Quality</v>
          </cell>
          <cell r="N137">
            <v>37652</v>
          </cell>
          <cell r="O137">
            <v>23</v>
          </cell>
          <cell r="P137" t="str">
            <v>061-962-0825</v>
          </cell>
          <cell r="Q137" t="str">
            <v>1-3397-00013-60-5</v>
          </cell>
          <cell r="R137" t="str">
            <v>ไทย</v>
          </cell>
          <cell r="S137" t="str">
            <v>泰国</v>
          </cell>
          <cell r="T137" t="str">
            <v>ม.6</v>
          </cell>
          <cell r="U137" t="str">
            <v>9 ม.6 ต.เหล่ากวาง อ.โนนคูณ จ.ศรีสะเกษ</v>
          </cell>
          <cell r="V137" t="str">
            <v>160 ม.5 ต.มาบยางพร อ.ปลวกแดง จ.ระยอง</v>
          </cell>
          <cell r="W137" t="str">
            <v>รายเดือน</v>
          </cell>
        </row>
        <row r="138">
          <cell r="B138">
            <v>69053</v>
          </cell>
          <cell r="C138" t="str">
            <v>นายรวิพันธ์ พันธุศิริ</v>
          </cell>
          <cell r="D138" t="str">
            <v>MR.RAWIRHAN PHANTHUSIRI</v>
          </cell>
          <cell r="E138" t="str">
            <v>Male</v>
          </cell>
          <cell r="F138">
            <v>46114</v>
          </cell>
          <cell r="G138">
            <v>46174</v>
          </cell>
          <cell r="H138">
            <v>46204</v>
          </cell>
          <cell r="I138">
            <v>46233</v>
          </cell>
          <cell r="J138" t="str">
            <v>0 ปี 1 เดือน 23 วัน</v>
          </cell>
          <cell r="K138" t="str">
            <v>Production</v>
          </cell>
          <cell r="L138" t="str">
            <v>เจ้าหน้าที่ ขับ Forklift</v>
          </cell>
          <cell r="M138" t="str">
            <v>Production</v>
          </cell>
          <cell r="N138">
            <v>38168</v>
          </cell>
          <cell r="O138">
            <v>21</v>
          </cell>
          <cell r="P138" t="str">
            <v>098-397-2236</v>
          </cell>
          <cell r="Q138" t="str">
            <v>1-6709-00113-37-8</v>
          </cell>
          <cell r="R138" t="str">
            <v>ไทย</v>
          </cell>
          <cell r="S138" t="str">
            <v>泰国</v>
          </cell>
          <cell r="T138" t="str">
            <v>ม.3</v>
          </cell>
          <cell r="U138" t="str">
            <v>37/1 ม.1 ต.โคกมน อ.น้ำหนาว จ.เพชรบูรณ์</v>
          </cell>
          <cell r="V138" t="str">
            <v>85 ม.5 ต.มาบยางพร อ.ปลวกแดง จ.ระยอง</v>
          </cell>
          <cell r="W138" t="str">
            <v>รายเดือน</v>
          </cell>
        </row>
        <row r="139">
          <cell r="B139">
            <v>69054</v>
          </cell>
          <cell r="C139" t="str">
            <v>นางสาวณัฎฐา หงษ์สำโรง</v>
          </cell>
          <cell r="D139" t="str">
            <v>MS.NATTHA HONGSAMRONG</v>
          </cell>
          <cell r="E139" t="str">
            <v>Female</v>
          </cell>
          <cell r="F139">
            <v>46118</v>
          </cell>
          <cell r="G139">
            <v>46178</v>
          </cell>
          <cell r="H139">
            <v>46208</v>
          </cell>
          <cell r="I139">
            <v>46237</v>
          </cell>
          <cell r="J139" t="str">
            <v>0 ปี 1 เดือน 19 วัน</v>
          </cell>
          <cell r="K139" t="str">
            <v>บริหารและวางแผนการผลิต</v>
          </cell>
          <cell r="L139" t="str">
            <v>生产计划员中文 เจ้าหน้าที่วางแผนการผลิต</v>
          </cell>
          <cell r="M139" t="str">
            <v>Production Management and Planning</v>
          </cell>
          <cell r="N139">
            <v>36222</v>
          </cell>
          <cell r="O139">
            <v>27</v>
          </cell>
          <cell r="P139" t="str">
            <v>061-408-6842</v>
          </cell>
          <cell r="Q139" t="str">
            <v>1-3009-01203-46-2</v>
          </cell>
          <cell r="R139" t="str">
            <v>ไทย</v>
          </cell>
          <cell r="S139" t="str">
            <v>泰国</v>
          </cell>
          <cell r="T139" t="str">
            <v>ป.ตรี</v>
          </cell>
          <cell r="U139" t="str">
            <v>60 ม.14 ต.ทัพรั้ง อ.พระทองคำ จ.นครราชสีมา</v>
          </cell>
          <cell r="V139" t="str">
            <v>215 ม.6 ต.มาบยางพร อ.ปลวกแดง จ.ระยอง</v>
          </cell>
          <cell r="W139" t="str">
            <v>รายเดือน</v>
          </cell>
        </row>
        <row r="140">
          <cell r="B140">
            <v>69055</v>
          </cell>
          <cell r="C140" t="str">
            <v>นางสาววิไลพร นามวงค์</v>
          </cell>
          <cell r="D140" t="str">
            <v>MS.WILAIPORN NAMWONG</v>
          </cell>
          <cell r="E140" t="str">
            <v>Female</v>
          </cell>
          <cell r="F140">
            <v>46118</v>
          </cell>
          <cell r="G140">
            <v>46178</v>
          </cell>
          <cell r="H140">
            <v>46208</v>
          </cell>
          <cell r="I140">
            <v>46237</v>
          </cell>
          <cell r="J140" t="str">
            <v>0 ปี 1 เดือน 19 วัน</v>
          </cell>
          <cell r="K140" t="str">
            <v>ตรวจสอบคุณภาพ</v>
          </cell>
          <cell r="L140" t="str">
            <v>质量检验专员เจ้าหน้าที่ QC</v>
          </cell>
          <cell r="M140" t="str">
            <v>Quality</v>
          </cell>
          <cell r="N140">
            <v>37199</v>
          </cell>
          <cell r="O140">
            <v>24</v>
          </cell>
          <cell r="P140" t="str">
            <v>080-176-1425</v>
          </cell>
          <cell r="Q140" t="str">
            <v>1-4807-01256-58-8</v>
          </cell>
          <cell r="R140" t="str">
            <v>ไทย</v>
          </cell>
          <cell r="S140" t="str">
            <v>泰国</v>
          </cell>
          <cell r="T140" t="str">
            <v>ปวส.</v>
          </cell>
          <cell r="U140" t="str">
            <v>61 ม.9 ต.พระซอง อ.นาแก จ.นครพนม</v>
          </cell>
          <cell r="V140" t="str">
            <v>312/111 ม.5 ต.เขาไม้แก้ว อ.บางละมุง</v>
          </cell>
          <cell r="W140" t="str">
            <v>รายเดือน</v>
          </cell>
        </row>
        <row r="141">
          <cell r="B141">
            <v>69056</v>
          </cell>
          <cell r="C141" t="str">
            <v>นางสาวรวิสรา นิรานนท์</v>
          </cell>
          <cell r="D141" t="str">
            <v>MS.RAWITSARA NIRANON</v>
          </cell>
          <cell r="E141" t="str">
            <v>Female</v>
          </cell>
          <cell r="F141">
            <v>46121</v>
          </cell>
          <cell r="G141">
            <v>46181</v>
          </cell>
          <cell r="H141">
            <v>46211</v>
          </cell>
          <cell r="I141">
            <v>46240</v>
          </cell>
          <cell r="J141" t="str">
            <v>0 ปี 1 เดือน 16 วัน</v>
          </cell>
          <cell r="K141" t="str">
            <v>ตรวจสอบคุณภาพ</v>
          </cell>
          <cell r="L141" t="str">
            <v>质量检验专员เจ้าหน้าที่ QC</v>
          </cell>
          <cell r="M141" t="str">
            <v>Quality</v>
          </cell>
          <cell r="N141">
            <v>37915</v>
          </cell>
          <cell r="O141">
            <v>22</v>
          </cell>
          <cell r="P141" t="str">
            <v>098-159-2015</v>
          </cell>
          <cell r="Q141" t="str">
            <v>1-3487-00024-92-4</v>
          </cell>
          <cell r="R141" t="str">
            <v>ไทย</v>
          </cell>
          <cell r="S141" t="str">
            <v>泰国</v>
          </cell>
          <cell r="T141" t="str">
            <v>ปวส.</v>
          </cell>
          <cell r="U141" t="str">
            <v>47 ม.6 ต.ขี้เหล็ก อ.น้ำขุ่น จ.อุบลราชธานี</v>
          </cell>
          <cell r="V141" t="str">
            <v>4/33 ม.3 ต.บ่อวิน อ.ศรีราชา จ.ชลบุรี</v>
          </cell>
          <cell r="W141" t="str">
            <v>รายเดือน</v>
          </cell>
        </row>
        <row r="142">
          <cell r="B142">
            <v>69057</v>
          </cell>
          <cell r="C142" t="str">
            <v>นาย ไกรศักดิ์ คำธิศรี</v>
          </cell>
          <cell r="D142" t="str">
            <v>MR.KAISAK KHAMTHISRI</v>
          </cell>
          <cell r="E142" t="str">
            <v>Male</v>
          </cell>
          <cell r="F142">
            <v>46128</v>
          </cell>
          <cell r="G142">
            <v>46188</v>
          </cell>
          <cell r="H142">
            <v>46218</v>
          </cell>
          <cell r="I142">
            <v>46247</v>
          </cell>
          <cell r="J142" t="str">
            <v>0 ปี 1 เดือน 9 วัน</v>
          </cell>
          <cell r="K142" t="str">
            <v>ตรวจสอบคุณภาพ</v>
          </cell>
          <cell r="L142" t="str">
            <v>质量检验专员เจ้าหน้าที่ QC</v>
          </cell>
          <cell r="M142" t="str">
            <v>Quality</v>
          </cell>
          <cell r="N142">
            <v>34320</v>
          </cell>
          <cell r="O142">
            <v>32</v>
          </cell>
          <cell r="P142" t="str">
            <v>094-053-0162</v>
          </cell>
          <cell r="Q142">
            <v>1470200091632</v>
          </cell>
          <cell r="R142" t="str">
            <v>ไทย</v>
          </cell>
          <cell r="S142" t="str">
            <v>泰国</v>
          </cell>
          <cell r="T142" t="str">
            <v>ม.6</v>
          </cell>
          <cell r="U142" t="str">
            <v>108/88 ม.4 ต.บึง อ.ศรีราชา จ.ชลบุรี</v>
          </cell>
          <cell r="V142" t="str">
            <v>108/88 ม.4 ต.บึง อ.ศรีราชา จ.ชลบุรี</v>
          </cell>
          <cell r="W142" t="str">
            <v>รายเดือน</v>
          </cell>
        </row>
        <row r="143">
          <cell r="B143">
            <v>69058</v>
          </cell>
          <cell r="C143" t="str">
            <v>นายณวัตน์ กองขัน</v>
          </cell>
          <cell r="D143" t="str">
            <v>MR.NAWAT KONGKHAN</v>
          </cell>
          <cell r="E143" t="str">
            <v>Male</v>
          </cell>
          <cell r="F143">
            <v>46132</v>
          </cell>
          <cell r="G143">
            <v>46192</v>
          </cell>
          <cell r="H143">
            <v>46222</v>
          </cell>
          <cell r="I143">
            <v>46251</v>
          </cell>
          <cell r="J143" t="str">
            <v>0 ปี 1 เดือน 5 วัน</v>
          </cell>
          <cell r="K143" t="str">
            <v>หลอมอลูมิเนียม</v>
          </cell>
          <cell r="L143" t="str">
            <v>压铸厂
ฝ่ายหลอมอลูมิเนียม</v>
          </cell>
          <cell r="M143" t="str">
            <v>Die Casting</v>
          </cell>
          <cell r="N143">
            <v>37942</v>
          </cell>
          <cell r="O143">
            <v>22</v>
          </cell>
          <cell r="P143" t="str">
            <v>093-081-9901</v>
          </cell>
          <cell r="Q143" t="str">
            <v>1-4399-00460-82-5</v>
          </cell>
          <cell r="R143" t="str">
            <v>ไทย</v>
          </cell>
          <cell r="S143" t="str">
            <v>泰国</v>
          </cell>
          <cell r="T143" t="str">
            <v>ปวส.</v>
          </cell>
          <cell r="U143" t="str">
            <v>193 ม.6 ต.คอกช้าง อ.สระใคร จ.หนองคาย</v>
          </cell>
          <cell r="V143" t="str">
            <v>432/17 ม.2 ต.มะขามคู่ อ.นิคมพัฒนา จ.ระยอง</v>
          </cell>
          <cell r="W143" t="str">
            <v>รายเดือน</v>
          </cell>
        </row>
        <row r="144">
          <cell r="B144">
            <v>69059</v>
          </cell>
          <cell r="C144" t="str">
            <v>นายณัฐพงษ์ บัวงาม</v>
          </cell>
          <cell r="D144" t="str">
            <v>MR.NUTTHAPHONG BUA-NGAM</v>
          </cell>
          <cell r="E144" t="str">
            <v>Male</v>
          </cell>
          <cell r="F144">
            <v>46132</v>
          </cell>
          <cell r="G144">
            <v>46192</v>
          </cell>
          <cell r="H144">
            <v>46222</v>
          </cell>
          <cell r="I144">
            <v>46251</v>
          </cell>
          <cell r="J144" t="str">
            <v>0 ปี 1 เดือน 5 วัน</v>
          </cell>
          <cell r="K144" t="str">
            <v>ซ่อมบำรุง</v>
          </cell>
          <cell r="L144" t="str">
            <v>维修摸具
ช่างซ่อมแม่พิมพ์ (Die Casting)</v>
          </cell>
          <cell r="M144" t="str">
            <v>Equipment</v>
          </cell>
          <cell r="N144">
            <v>35215</v>
          </cell>
          <cell r="O144">
            <v>29</v>
          </cell>
          <cell r="P144" t="str">
            <v>093-328-1352</v>
          </cell>
          <cell r="Q144" t="str">
            <v>1-4111-00296-13-6</v>
          </cell>
          <cell r="R144" t="str">
            <v>ไทย</v>
          </cell>
          <cell r="S144" t="str">
            <v>泰国</v>
          </cell>
          <cell r="T144" t="str">
            <v>ปวส.</v>
          </cell>
          <cell r="U144" t="str">
            <v>97 ม.12 ต.นาไหม อ.บ้านดุง จ.อุดรธานี</v>
          </cell>
          <cell r="V144" t="str">
            <v>112/ ม.5 ต.เขาคันทรง อ.ศรีราชา จ.ชลบุรี</v>
          </cell>
          <cell r="W144" t="str">
            <v>รายเดือน</v>
          </cell>
        </row>
        <row r="145">
          <cell r="B145">
            <v>69060</v>
          </cell>
          <cell r="C145" t="str">
            <v>นางสาวรมิตาสิริ ท่วมประจักษ์</v>
          </cell>
          <cell r="D145" t="str">
            <v>MS.RAMITASIRI THOAMPRAJAK</v>
          </cell>
          <cell r="E145" t="str">
            <v>Female</v>
          </cell>
          <cell r="F145">
            <v>46132</v>
          </cell>
          <cell r="G145">
            <v>46192</v>
          </cell>
          <cell r="H145">
            <v>46222</v>
          </cell>
          <cell r="I145">
            <v>46251</v>
          </cell>
          <cell r="J145" t="str">
            <v>0 ปี 1 เดือน 5 วัน</v>
          </cell>
          <cell r="K145" t="str">
            <v>บัญชี</v>
          </cell>
          <cell r="L145" t="str">
            <v>财务
เจ้าหน้าที่บัญชี</v>
          </cell>
          <cell r="M145" t="str">
            <v>Finance</v>
          </cell>
          <cell r="N145">
            <v>33348</v>
          </cell>
          <cell r="O145">
            <v>35</v>
          </cell>
          <cell r="P145" t="str">
            <v>063-021-9936</v>
          </cell>
          <cell r="Q145" t="str">
            <v>1-3607-00071-07-1</v>
          </cell>
          <cell r="R145" t="str">
            <v>ไทย</v>
          </cell>
          <cell r="S145" t="str">
            <v>泰国</v>
          </cell>
          <cell r="T145" t="str">
            <v>ป.ตรี</v>
          </cell>
          <cell r="U145" t="str">
            <v>29 ม.14 ต.บ้านเพชร อ.บำเหน็จณรงค์ จ.ชัยภูมิ</v>
          </cell>
          <cell r="V145" t="str">
            <v>192/29 ม.11 ต.ทุ่งสุขลา อ.สรีราชา จ.ชลบุรี</v>
          </cell>
          <cell r="W145" t="str">
            <v>รายเดือน</v>
          </cell>
        </row>
        <row r="146">
          <cell r="B146">
            <v>69061</v>
          </cell>
          <cell r="C146" t="str">
            <v>MS.YANG,QIONGXIU</v>
          </cell>
          <cell r="D146" t="str">
            <v>MS.YANG,QIONGXIU</v>
          </cell>
          <cell r="E146" t="str">
            <v>Female</v>
          </cell>
          <cell r="F146">
            <v>46120</v>
          </cell>
          <cell r="G146">
            <v>46180</v>
          </cell>
          <cell r="H146">
            <v>46210</v>
          </cell>
          <cell r="I146">
            <v>46239</v>
          </cell>
          <cell r="J146" t="str">
            <v>0 ปี 1 เดือน 17 วัน</v>
          </cell>
          <cell r="K146" t="str">
            <v>บริหารและวางแผนการผลิต</v>
          </cell>
          <cell r="L146" t="str">
            <v>生产计划员中文 เจ้าหน้าที่วางแผนการผลิต(ภาษาจีน)</v>
          </cell>
          <cell r="M146" t="str">
            <v>Production Management and Planning</v>
          </cell>
          <cell r="N146">
            <v>37318</v>
          </cell>
          <cell r="O146">
            <v>24</v>
          </cell>
          <cell r="Q146" t="str">
            <v>EJ9137027</v>
          </cell>
          <cell r="R146" t="str">
            <v>CHINESE</v>
          </cell>
          <cell r="S146" t="str">
            <v>中国籍</v>
          </cell>
          <cell r="W146" t="str">
            <v>รายเดือน</v>
          </cell>
        </row>
        <row r="147">
          <cell r="B147">
            <v>69062</v>
          </cell>
          <cell r="C147" t="str">
            <v>นายณัฐภูมิ ดีกาว</v>
          </cell>
          <cell r="D147" t="str">
            <v>MR.NATTAPOOM DEEKAO</v>
          </cell>
          <cell r="E147" t="str">
            <v>Male</v>
          </cell>
          <cell r="F147">
            <v>46133</v>
          </cell>
          <cell r="G147">
            <v>46193</v>
          </cell>
          <cell r="H147">
            <v>46223</v>
          </cell>
          <cell r="I147">
            <v>46252</v>
          </cell>
          <cell r="J147" t="str">
            <v>0 ปี 1 เดือน 4 วัน</v>
          </cell>
          <cell r="K147" t="str">
            <v>ตรวจสอบคุณภาพ</v>
          </cell>
          <cell r="L147" t="str">
            <v>质量检验专员เจ้าหน้าที่ QC</v>
          </cell>
          <cell r="M147" t="str">
            <v>Quality</v>
          </cell>
          <cell r="N147">
            <v>35662</v>
          </cell>
          <cell r="O147">
            <v>28</v>
          </cell>
          <cell r="P147" t="str">
            <v>097-223-6578</v>
          </cell>
          <cell r="Q147" t="str">
            <v>1-4599-00637-82-2</v>
          </cell>
          <cell r="R147" t="str">
            <v>ไทย</v>
          </cell>
          <cell r="S147" t="str">
            <v>泰国</v>
          </cell>
          <cell r="T147" t="str">
            <v>ปวส.</v>
          </cell>
          <cell r="U147" t="str">
            <v>25 ม.5 ต.ขี้เหล็ก อ.อาจสามารถ จ.ร้อยเอ็ด</v>
          </cell>
          <cell r="V147" t="str">
            <v>22/23 ม.2 ต.มะขาวคู่ อ.นิคมพัฒนา จ.ระยอง</v>
          </cell>
          <cell r="W147" t="str">
            <v>รายเดือน</v>
          </cell>
        </row>
        <row r="148">
          <cell r="B148">
            <v>69063</v>
          </cell>
          <cell r="C148" t="str">
            <v>นายทนาวุฒิ พิเศษฤทธิ์</v>
          </cell>
          <cell r="D148" t="str">
            <v>MR.THANAWUT PHISETRIT</v>
          </cell>
          <cell r="E148" t="str">
            <v>Male</v>
          </cell>
          <cell r="F148">
            <v>46133</v>
          </cell>
          <cell r="G148">
            <v>46193</v>
          </cell>
          <cell r="H148">
            <v>46223</v>
          </cell>
          <cell r="I148">
            <v>46252</v>
          </cell>
          <cell r="J148" t="str">
            <v>0 ปี 1 เดือน 4 วัน</v>
          </cell>
          <cell r="K148" t="str">
            <v>Bending</v>
          </cell>
          <cell r="L148" t="str">
            <v>折弯机操作员
เจ้าหน้าที่ควบคุมเครื่องBending</v>
          </cell>
          <cell r="M148" t="str">
            <v>Bending</v>
          </cell>
          <cell r="N148">
            <v>36961</v>
          </cell>
          <cell r="O148">
            <v>25</v>
          </cell>
          <cell r="P148" t="str">
            <v>064-339-2904</v>
          </cell>
          <cell r="Q148" t="str">
            <v>1-3699-00550-40-0</v>
          </cell>
          <cell r="R148" t="str">
            <v>ไทย</v>
          </cell>
          <cell r="S148" t="str">
            <v>泰国</v>
          </cell>
          <cell r="T148" t="str">
            <v>ม.3</v>
          </cell>
          <cell r="U148" t="str">
            <v>65 ม.1 ต.ห้วยต้อน อ.เมืองชัยภูมิ จ.ชัยภูมิ</v>
          </cell>
          <cell r="V148" t="str">
            <v>27/3 ม.4 ต.มาบยางพร อ.ปลวกแดง จ.ระยอง</v>
          </cell>
          <cell r="W148" t="str">
            <v>รายเดือน</v>
          </cell>
        </row>
        <row r="149">
          <cell r="B149">
            <v>69064</v>
          </cell>
          <cell r="C149" t="str">
            <v>นางสาวอันน์-คัทรีน-คัวร์ซีแฟน</v>
          </cell>
          <cell r="D149" t="str">
            <v>MS.ANN-KATRIN CURSIEFEN</v>
          </cell>
          <cell r="E149" t="str">
            <v>Female</v>
          </cell>
          <cell r="F149">
            <v>46133</v>
          </cell>
          <cell r="G149">
            <v>46193</v>
          </cell>
          <cell r="H149">
            <v>46223</v>
          </cell>
          <cell r="I149">
            <v>46252</v>
          </cell>
          <cell r="J149" t="str">
            <v>0 ปี 1 เดือน 4 วัน</v>
          </cell>
          <cell r="K149" t="str">
            <v>หลอมอลูมิเนียม</v>
          </cell>
          <cell r="L149" t="str">
            <v>Shot Blasting</v>
          </cell>
          <cell r="M149" t="str">
            <v>Die Casting</v>
          </cell>
          <cell r="N149">
            <v>38054</v>
          </cell>
          <cell r="O149">
            <v>22</v>
          </cell>
          <cell r="P149" t="str">
            <v>091-750-1618</v>
          </cell>
          <cell r="Q149" t="str">
            <v>5-3103-00111-92-2</v>
          </cell>
          <cell r="R149" t="str">
            <v>ไทย</v>
          </cell>
          <cell r="S149" t="str">
            <v>泰国</v>
          </cell>
          <cell r="T149" t="str">
            <v>ปวช.</v>
          </cell>
          <cell r="U149" t="str">
            <v>17 ม.17 ต.หนองเต็ง อ.กระสัง จ.บุรีรัมย์</v>
          </cell>
          <cell r="V149" t="str">
            <v>344/5 ม.2 ต.มะขามคู่ อ.นิคมพัฒนา จ.ระยอง</v>
          </cell>
          <cell r="W149" t="str">
            <v>รายเดือน</v>
          </cell>
        </row>
        <row r="150">
          <cell r="B150">
            <v>69065</v>
          </cell>
          <cell r="C150" t="str">
            <v>นายอิสระ ผิวเงิน</v>
          </cell>
          <cell r="D150" t="str">
            <v>MR.ITSARA PIWNGOEN</v>
          </cell>
          <cell r="E150" t="str">
            <v>Male</v>
          </cell>
          <cell r="F150">
            <v>46133</v>
          </cell>
          <cell r="G150">
            <v>46193</v>
          </cell>
          <cell r="H150">
            <v>46223</v>
          </cell>
          <cell r="I150">
            <v>46252</v>
          </cell>
          <cell r="J150" t="str">
            <v>0 ปี 1 เดือน 4 วัน</v>
          </cell>
          <cell r="K150" t="str">
            <v>หลอมอลูมิเนียม</v>
          </cell>
          <cell r="L150" t="str">
            <v>เจ้าหน้าที่หลอมอลูมิเนียม</v>
          </cell>
          <cell r="M150" t="str">
            <v>Die Casting</v>
          </cell>
          <cell r="N150">
            <v>38744</v>
          </cell>
          <cell r="O150">
            <v>20</v>
          </cell>
          <cell r="P150" t="str">
            <v>062-175-1647</v>
          </cell>
          <cell r="Q150" t="str">
            <v>1-3414-01268-22-1</v>
          </cell>
          <cell r="R150" t="str">
            <v>ไทย</v>
          </cell>
          <cell r="S150" t="str">
            <v>泰国</v>
          </cell>
          <cell r="T150" t="str">
            <v>ม.6</v>
          </cell>
          <cell r="U150" t="str">
            <v>33/4 ม.4 ต.ไผ่ใหญ่ อ.ม่วงสามสิบ จ.อุบลราชธานี</v>
          </cell>
          <cell r="V150" t="str">
            <v>2/67 ม.2 ต.มะขามคู่ อ.นิคมพัฒนา จ.ระยอง</v>
          </cell>
          <cell r="W150" t="str">
            <v>รายเดือน</v>
          </cell>
        </row>
        <row r="151">
          <cell r="B151">
            <v>69066</v>
          </cell>
          <cell r="C151" t="str">
            <v>นายเกียรติศักดิ์ แล่เพ็ชร</v>
          </cell>
          <cell r="D151" t="str">
            <v>MR.KIATTISAK LAPHET</v>
          </cell>
          <cell r="E151" t="str">
            <v>Male</v>
          </cell>
          <cell r="F151">
            <v>46133</v>
          </cell>
          <cell r="G151">
            <v>46193</v>
          </cell>
          <cell r="H151">
            <v>46223</v>
          </cell>
          <cell r="I151">
            <v>46252</v>
          </cell>
          <cell r="J151" t="str">
            <v>0 ปี 1 เดือน 4 วัน</v>
          </cell>
          <cell r="K151" t="str">
            <v>Stamping</v>
          </cell>
          <cell r="L151" t="str">
            <v>冲压操作工150T
เจ้าหน้าที่ปั๊มงาน150ตัน</v>
          </cell>
          <cell r="M151" t="str">
            <v>Stamping</v>
          </cell>
          <cell r="N151">
            <v>37454</v>
          </cell>
          <cell r="O151">
            <v>23</v>
          </cell>
          <cell r="P151" t="str">
            <v>095-440-7563</v>
          </cell>
          <cell r="Q151" t="str">
            <v>1-4494-00009-67-9</v>
          </cell>
          <cell r="R151" t="str">
            <v>ไทย</v>
          </cell>
          <cell r="S151" t="str">
            <v>泰国</v>
          </cell>
          <cell r="T151" t="str">
            <v>ม.3</v>
          </cell>
          <cell r="U151" t="str">
            <v>122 ม.7 ต.นาทอง อ.เชียงยืน จ.มหาสารคาม</v>
          </cell>
          <cell r="V151" t="str">
            <v>285 ม.4 ต.ปลวกแดง อ.ปลวกแดง จ.ระยอง</v>
          </cell>
          <cell r="W151" t="str">
            <v>รายเดือน</v>
          </cell>
        </row>
        <row r="152">
          <cell r="B152">
            <v>69067</v>
          </cell>
          <cell r="C152" t="str">
            <v>นายสิทธิมงคล พลเรือน</v>
          </cell>
          <cell r="D152" t="str">
            <v>MR.SITTHIMONGKHON PHOLRAUNG</v>
          </cell>
          <cell r="E152" t="str">
            <v>Male</v>
          </cell>
          <cell r="F152">
            <v>46133</v>
          </cell>
          <cell r="G152">
            <v>46193</v>
          </cell>
          <cell r="H152">
            <v>46223</v>
          </cell>
          <cell r="I152">
            <v>46252</v>
          </cell>
          <cell r="J152" t="str">
            <v>0 ปี 1 เดือน 4 วัน</v>
          </cell>
          <cell r="K152" t="str">
            <v>ซ่อมบำรุง</v>
          </cell>
          <cell r="L152" t="str">
            <v>ซ่อมบำรุงเครื่องจักร
机械维修部</v>
          </cell>
          <cell r="M152" t="str">
            <v>Equipment</v>
          </cell>
          <cell r="N152">
            <v>38330</v>
          </cell>
          <cell r="O152">
            <v>21</v>
          </cell>
          <cell r="P152" t="str">
            <v>061-264-8180</v>
          </cell>
          <cell r="Q152" t="str">
            <v>1-3097-01286-77-0</v>
          </cell>
          <cell r="R152" t="str">
            <v>ไทย</v>
          </cell>
          <cell r="S152" t="str">
            <v>泰国</v>
          </cell>
          <cell r="T152" t="str">
            <v>ปวช.</v>
          </cell>
          <cell r="U152" t="str">
            <v>127 ม.3 ต.สารภี อ.โพธิ์ไทร จ.อุบลราชธานี</v>
          </cell>
          <cell r="V152" t="str">
            <v>13/130 ม.3 ต.มาบยางพร อ.ปลวกแดง จ.ระยอง</v>
          </cell>
          <cell r="W152" t="str">
            <v>รายเดือน</v>
          </cell>
        </row>
        <row r="153">
          <cell r="B153">
            <v>69068</v>
          </cell>
          <cell r="C153" t="str">
            <v>นายอภิชาติ นามกิง</v>
          </cell>
          <cell r="D153" t="str">
            <v>MR.APHICHAT NAMKING</v>
          </cell>
          <cell r="E153" t="str">
            <v>Male</v>
          </cell>
          <cell r="F153">
            <v>46135</v>
          </cell>
          <cell r="G153">
            <v>46195</v>
          </cell>
          <cell r="H153">
            <v>46225</v>
          </cell>
          <cell r="I153">
            <v>46254</v>
          </cell>
          <cell r="J153" t="str">
            <v>0 ปี 1 เดือน 2 วัน</v>
          </cell>
          <cell r="K153" t="str">
            <v>ตรวจสอบคุณภาพ</v>
          </cell>
          <cell r="L153" t="str">
            <v>质量检验专员เจ้าหน้าที่ QC</v>
          </cell>
          <cell r="M153" t="str">
            <v>Quality</v>
          </cell>
          <cell r="N153">
            <v>37983</v>
          </cell>
          <cell r="O153">
            <v>22</v>
          </cell>
          <cell r="P153" t="str">
            <v>090-411-7821</v>
          </cell>
          <cell r="Q153" t="str">
            <v>1-3009-01229-19-4</v>
          </cell>
          <cell r="R153" t="str">
            <v>ไทย</v>
          </cell>
          <cell r="S153" t="str">
            <v>泰国</v>
          </cell>
          <cell r="T153" t="str">
            <v>ม.3</v>
          </cell>
          <cell r="U153" t="str">
            <v>44 ม.19 ต.ทัพรั้ง อ.พระทองคำ จ.นครราชสีมา</v>
          </cell>
          <cell r="V153" t="str">
            <v>73/1 ม.6 ต.มาบยางพร อ.ปลวกแดง จ.ระยอง</v>
          </cell>
          <cell r="W153" t="str">
            <v>รายเดือน</v>
          </cell>
        </row>
        <row r="154">
          <cell r="B154">
            <v>69069</v>
          </cell>
          <cell r="C154" t="str">
            <v>นางสาวสุนทรีย์ ฤทธิ์ชัยเดช</v>
          </cell>
          <cell r="D154" t="str">
            <v>MS.SUNTHAREE RITCHAIDET</v>
          </cell>
          <cell r="E154" t="str">
            <v>Female</v>
          </cell>
          <cell r="F154">
            <v>46137</v>
          </cell>
          <cell r="G154">
            <v>46197</v>
          </cell>
          <cell r="H154">
            <v>46227</v>
          </cell>
          <cell r="I154">
            <v>46256</v>
          </cell>
          <cell r="J154" t="str">
            <v>0 ปี 1 เดือน 0 วัน</v>
          </cell>
          <cell r="K154" t="str">
            <v>ตรวจสอบคุณภาพ</v>
          </cell>
          <cell r="L154" t="str">
            <v>质量检验专员เจ้าหน้าที่ QC</v>
          </cell>
          <cell r="M154" t="str">
            <v>Quality</v>
          </cell>
          <cell r="N154">
            <v>36477</v>
          </cell>
          <cell r="O154">
            <v>26</v>
          </cell>
          <cell r="P154" t="str">
            <v>061-686-7599</v>
          </cell>
          <cell r="Q154" t="str">
            <v>1-5399-00700-69-8</v>
          </cell>
          <cell r="R154" t="str">
            <v>ไทย</v>
          </cell>
          <cell r="S154" t="str">
            <v>泰国</v>
          </cell>
          <cell r="T154" t="str">
            <v>ปวส.</v>
          </cell>
          <cell r="U154" t="str">
            <v>99/1 ม.4 ต.ผาสุก อ.เมือง จ.อุตรดิตถ์</v>
          </cell>
          <cell r="V154" t="str">
            <v>32/78 ม.2 ต.มะขามคู่ อ.นิคมพัฒนา จ.ระยอง</v>
          </cell>
          <cell r="W154" t="str">
            <v>รายเดือน</v>
          </cell>
        </row>
        <row r="155">
          <cell r="B155">
            <v>69070</v>
          </cell>
          <cell r="C155" t="str">
            <v>นายเชาวลิต มูลปัง</v>
          </cell>
          <cell r="D155" t="str">
            <v>MR.CHAOWALIT MOONPANG</v>
          </cell>
          <cell r="E155" t="str">
            <v>Male</v>
          </cell>
          <cell r="F155">
            <v>46146</v>
          </cell>
          <cell r="G155">
            <v>46206</v>
          </cell>
          <cell r="H155">
            <v>46236</v>
          </cell>
          <cell r="I155">
            <v>46265</v>
          </cell>
          <cell r="J155" t="str">
            <v>0 ปี 0 เดือน 21 วัน</v>
          </cell>
          <cell r="K155" t="str">
            <v>ตรวจสอบคุณภาพ</v>
          </cell>
          <cell r="L155" t="str">
            <v>质量检验专员เจ้าหน้าที่ QC</v>
          </cell>
          <cell r="M155" t="str">
            <v>Quality</v>
          </cell>
          <cell r="N155">
            <v>35456</v>
          </cell>
          <cell r="O155">
            <v>29</v>
          </cell>
          <cell r="P155" t="str">
            <v>098-145-2710</v>
          </cell>
          <cell r="Q155" t="str">
            <v>1-2404-00089-72-2</v>
          </cell>
          <cell r="R155" t="str">
            <v>ไทย</v>
          </cell>
          <cell r="S155" t="str">
            <v>泰国</v>
          </cell>
          <cell r="T155" t="str">
            <v>ม.6</v>
          </cell>
          <cell r="U155" t="str">
            <v>588/7 ม.3 ต.มาบยางพร อ.ปลวกแดง จ.ระยอง</v>
          </cell>
          <cell r="V155" t="str">
            <v>588/7 ม.3 ต.มาบยางพร อ.ปลวกแดง จ.ระยอง</v>
          </cell>
          <cell r="W155" t="str">
            <v>รายเดือน</v>
          </cell>
        </row>
        <row r="156">
          <cell r="B156">
            <v>69071</v>
          </cell>
          <cell r="C156" t="str">
            <v>นางสาววาสิตา คุณวงค์</v>
          </cell>
          <cell r="D156" t="str">
            <v>MS.WASITA KHUNWONG</v>
          </cell>
          <cell r="E156" t="str">
            <v>Female</v>
          </cell>
          <cell r="F156">
            <v>46146</v>
          </cell>
          <cell r="G156">
            <v>46206</v>
          </cell>
          <cell r="H156">
            <v>46236</v>
          </cell>
          <cell r="I156">
            <v>46265</v>
          </cell>
          <cell r="J156" t="str">
            <v>0 ปี 0 เดือน 21 วัน</v>
          </cell>
          <cell r="K156" t="str">
            <v>ตรวจสอบคุณภาพ</v>
          </cell>
          <cell r="L156" t="str">
            <v>质量检验专员เจ้าหน้าที่ QC</v>
          </cell>
          <cell r="M156" t="str">
            <v>Quality</v>
          </cell>
          <cell r="N156">
            <v>36275</v>
          </cell>
          <cell r="O156">
            <v>27</v>
          </cell>
          <cell r="P156" t="str">
            <v>084-293-8896</v>
          </cell>
          <cell r="Q156" t="str">
            <v>1-3198-00256-74-7</v>
          </cell>
          <cell r="R156" t="str">
            <v>ไทย</v>
          </cell>
          <cell r="S156" t="str">
            <v>泰国</v>
          </cell>
          <cell r="T156" t="str">
            <v>ม.6</v>
          </cell>
          <cell r="U156" t="str">
            <v>45 ม.7 ต.โคกตูม อ.ประโคนชัย จ.บุรีรัมย์</v>
          </cell>
          <cell r="V156" t="str">
            <v>310/18 ม.5 ต.เขาไม้แก้ว อ.บางละมุง จ.ชลบุรี</v>
          </cell>
          <cell r="W156" t="str">
            <v>รายเดือน</v>
          </cell>
        </row>
        <row r="157">
          <cell r="B157">
            <v>69073</v>
          </cell>
          <cell r="C157" t="str">
            <v>นางสาวนรินทรา  บุญศิริ</v>
          </cell>
          <cell r="D157" t="str">
            <v>MS.NARINTRA BOONSIRI</v>
          </cell>
          <cell r="E157" t="str">
            <v>Female</v>
          </cell>
          <cell r="F157">
            <v>46163</v>
          </cell>
          <cell r="G157">
            <v>46223</v>
          </cell>
          <cell r="H157">
            <v>46253</v>
          </cell>
          <cell r="I157">
            <v>46282</v>
          </cell>
          <cell r="J157" t="str">
            <v>0 ปี 0 เดือน 4 วัน</v>
          </cell>
          <cell r="K157" t="str">
            <v>คลังสินค้า</v>
          </cell>
          <cell r="L157" t="str">
            <v>挑选เจ้าหน้าที่คัดงาน</v>
          </cell>
          <cell r="M157" t="str">
            <v>Warehouse</v>
          </cell>
          <cell r="N157">
            <v>37395</v>
          </cell>
          <cell r="O157">
            <v>24</v>
          </cell>
          <cell r="P157" t="str">
            <v>098-309-5523</v>
          </cell>
          <cell r="Q157" t="str">
            <v>1-3299-01124-96-0</v>
          </cell>
          <cell r="R157" t="str">
            <v>ไทย</v>
          </cell>
          <cell r="S157" t="str">
            <v>泰国</v>
          </cell>
          <cell r="T157" t="str">
            <v>ม.3</v>
          </cell>
          <cell r="U157" t="str">
            <v>12 ม.11 ต.ลำดวน อ.ลำดวน จ.สุรินทร์</v>
          </cell>
          <cell r="V157" t="str">
            <v>230 ม.2 ต.มาบยางพร อ.ปลวกแดง จ.ระยอง</v>
          </cell>
          <cell r="W157" t="str">
            <v>รายเดือน</v>
          </cell>
        </row>
        <row r="158">
          <cell r="B158">
            <v>69074</v>
          </cell>
          <cell r="C158" t="str">
            <v>นางสาวสุกันยา  ผาทา</v>
          </cell>
          <cell r="D158" t="str">
            <v>MS.SUKANYA PHATHA</v>
          </cell>
          <cell r="E158" t="str">
            <v>Female</v>
          </cell>
          <cell r="F158">
            <v>46163</v>
          </cell>
          <cell r="G158">
            <v>46223</v>
          </cell>
          <cell r="H158">
            <v>46253</v>
          </cell>
          <cell r="I158">
            <v>46282</v>
          </cell>
          <cell r="J158" t="str">
            <v>0 ปี 0 เดือน 4 วัน</v>
          </cell>
          <cell r="K158" t="str">
            <v>คลังสินค้า</v>
          </cell>
          <cell r="L158" t="str">
            <v>仓库管理员
เจ้าหน้าที่คลังสินค้า</v>
          </cell>
          <cell r="M158" t="str">
            <v>Warehouse</v>
          </cell>
          <cell r="N158">
            <v>38905</v>
          </cell>
          <cell r="O158">
            <v>19</v>
          </cell>
          <cell r="P158" t="str">
            <v>098-548-6623</v>
          </cell>
          <cell r="Q158" t="str">
            <v>1-4899-00563-32-2</v>
          </cell>
          <cell r="R158" t="str">
            <v>ไทย</v>
          </cell>
          <cell r="S158" t="str">
            <v>泰国</v>
          </cell>
          <cell r="T158" t="str">
            <v>ม.6</v>
          </cell>
          <cell r="U158" t="str">
            <v>22/1 ม.8 ต.คำเตย อ.เมืองนครพนม จ.นครพนม</v>
          </cell>
          <cell r="V158" t="str">
            <v>127/62 ม.6 ต.มาบยางพร อ.ปลวกแดง จ.ระยอง</v>
          </cell>
          <cell r="W158" t="str">
            <v>รายเดือน</v>
          </cell>
        </row>
        <row r="159">
          <cell r="B159">
            <v>69075</v>
          </cell>
          <cell r="C159" t="str">
            <v>นายสุวิจักขณ์  ศรีโพธิ์</v>
          </cell>
          <cell r="D159" t="str">
            <v>MR.SUWIJAK SRIPHO</v>
          </cell>
          <cell r="E159" t="str">
            <v>Male</v>
          </cell>
          <cell r="F159">
            <v>46163</v>
          </cell>
          <cell r="G159">
            <v>46223</v>
          </cell>
          <cell r="H159">
            <v>46253</v>
          </cell>
          <cell r="I159">
            <v>46282</v>
          </cell>
          <cell r="J159" t="str">
            <v>0 ปี 0 เดือน 4 วัน</v>
          </cell>
          <cell r="K159" t="str">
            <v>คลังสินค้า</v>
          </cell>
          <cell r="L159" t="str">
            <v>挑选เจ้าหน้าที่คัดงาน</v>
          </cell>
          <cell r="M159" t="str">
            <v>Warehouse</v>
          </cell>
          <cell r="N159">
            <v>37672</v>
          </cell>
          <cell r="O159">
            <v>23</v>
          </cell>
          <cell r="P159" t="str">
            <v>083-141-3103</v>
          </cell>
          <cell r="Q159" t="str">
            <v>1-3004-01206-27-6</v>
          </cell>
          <cell r="R159" t="str">
            <v>ไทย</v>
          </cell>
          <cell r="S159" t="str">
            <v>泰国</v>
          </cell>
          <cell r="T159" t="str">
            <v>ม.3</v>
          </cell>
          <cell r="U159" t="str">
            <v>125 ม.11 ต.โนนเต็ง อ.คง จ.นครราชสีมา</v>
          </cell>
          <cell r="V159" t="str">
            <v>80 ม.3 ต.มาบยางพร อ.ปลวกแดง จ.ระยอง</v>
          </cell>
          <cell r="W159" t="str">
            <v>รายเดือน</v>
          </cell>
        </row>
        <row r="160">
          <cell r="B160">
            <v>69076</v>
          </cell>
          <cell r="C160" t="str">
            <v>นายวัชระ  ศรีอินทร์</v>
          </cell>
          <cell r="D160" t="str">
            <v>MR.WATCHARA  SRIIN</v>
          </cell>
          <cell r="E160" t="str">
            <v>Male</v>
          </cell>
          <cell r="F160">
            <v>46163</v>
          </cell>
          <cell r="G160">
            <v>46223</v>
          </cell>
          <cell r="H160">
            <v>46253</v>
          </cell>
          <cell r="I160">
            <v>46282</v>
          </cell>
          <cell r="J160" t="str">
            <v>0 ปี 0 เดือน 4 วัน</v>
          </cell>
          <cell r="K160" t="str">
            <v>ประกอบ</v>
          </cell>
          <cell r="L160" t="str">
            <v>组装H1
เจ้าหน้าที่ประกอบH1</v>
          </cell>
          <cell r="M160" t="str">
            <v>Assembly</v>
          </cell>
          <cell r="N160">
            <v>34875</v>
          </cell>
          <cell r="O160">
            <v>30</v>
          </cell>
          <cell r="P160" t="str">
            <v>063-618-0891</v>
          </cell>
          <cell r="Q160" t="str">
            <v>1-3205-00241-47-9</v>
          </cell>
          <cell r="R160" t="str">
            <v>ไทย</v>
          </cell>
          <cell r="S160" t="str">
            <v>泰国</v>
          </cell>
          <cell r="T160" t="str">
            <v>ม.3</v>
          </cell>
          <cell r="U160" t="str">
            <v>29 ม.8 ต.หนองใหญ่ อ.ปราสาท จ.สุรินทร์</v>
          </cell>
          <cell r="V160" t="str">
            <v>999/329 ม.2 ต.มาบยางพร อ.ปลวกแดง จ.ระยอง</v>
          </cell>
          <cell r="W160" t="str">
            <v>รายเดือน</v>
          </cell>
        </row>
        <row r="161">
          <cell r="B161">
            <v>69077</v>
          </cell>
          <cell r="C161" t="str">
            <v>นางสาวมัชฌิมา  รุ่งระวี</v>
          </cell>
          <cell r="D161" t="str">
            <v>MS.MATCHIMA RUNGRAWEE</v>
          </cell>
          <cell r="E161" t="str">
            <v>Female</v>
          </cell>
          <cell r="F161">
            <v>46163</v>
          </cell>
          <cell r="G161">
            <v>46223</v>
          </cell>
          <cell r="H161">
            <v>46253</v>
          </cell>
          <cell r="I161">
            <v>46282</v>
          </cell>
          <cell r="J161" t="str">
            <v>0 ปี 0 เดือน 4 วัน</v>
          </cell>
          <cell r="K161" t="str">
            <v>คลังสินค้า</v>
          </cell>
          <cell r="L161" t="str">
            <v>挑选เจ้าหน้าที่คัดงาน</v>
          </cell>
          <cell r="M161" t="str">
            <v>Warehouse</v>
          </cell>
          <cell r="N161">
            <v>36403</v>
          </cell>
          <cell r="O161">
            <v>26</v>
          </cell>
          <cell r="P161" t="str">
            <v>093-396-4507</v>
          </cell>
          <cell r="Q161" t="str">
            <v>1-1015-01026-09-4</v>
          </cell>
          <cell r="R161" t="str">
            <v>ไทย</v>
          </cell>
          <cell r="S161" t="str">
            <v>泰国</v>
          </cell>
          <cell r="T161" t="str">
            <v>ปวส.</v>
          </cell>
          <cell r="U161" t="str">
            <v>42 ม.3 ต.ดู่ อ.ราษีไศล จ.ศรีสะเกษ</v>
          </cell>
          <cell r="V161" t="str">
            <v>96 ม.4 ต.มาบยางพร อ.ปลวกแดง จ.ระยอง</v>
          </cell>
          <cell r="W161" t="str">
            <v>รายเดือน</v>
          </cell>
        </row>
        <row r="162">
          <cell r="B162">
            <v>69078</v>
          </cell>
          <cell r="C162" t="str">
            <v>นายจิรายุส  จำปาทิพย์</v>
          </cell>
          <cell r="D162" t="str">
            <v>MR.JIRAYUT JAMPATIP</v>
          </cell>
          <cell r="E162" t="str">
            <v>Male</v>
          </cell>
          <cell r="F162">
            <v>46163</v>
          </cell>
          <cell r="G162">
            <v>46223</v>
          </cell>
          <cell r="H162">
            <v>46253</v>
          </cell>
          <cell r="I162">
            <v>46282</v>
          </cell>
          <cell r="J162" t="str">
            <v>0 ปี 0 เดือน 4 วัน</v>
          </cell>
          <cell r="K162" t="str">
            <v>คลังสินค้า</v>
          </cell>
          <cell r="L162" t="str">
            <v>仓库管理员
เจ้าหน้าที่คลังสินค้า</v>
          </cell>
          <cell r="M162" t="str">
            <v>Warehouse</v>
          </cell>
          <cell r="N162">
            <v>38261</v>
          </cell>
          <cell r="O162">
            <v>21</v>
          </cell>
          <cell r="P162" t="str">
            <v>085-886-6909</v>
          </cell>
          <cell r="Q162" t="str">
            <v>1-4085-00028-79-8</v>
          </cell>
          <cell r="R162" t="str">
            <v>ไทย</v>
          </cell>
          <cell r="S162" t="str">
            <v>泰国</v>
          </cell>
          <cell r="T162" t="str">
            <v>ม.3</v>
          </cell>
          <cell r="U162" t="str">
            <v>84 ม.4 ต.สะอาด อ.น้ำพอง จ.ขอนแก่น</v>
          </cell>
          <cell r="V162" t="str">
            <v>237/7 ม.5 ต.มะขามคู่ อ.นิคมพัฒนา จ.ระยอง</v>
          </cell>
          <cell r="W162" t="str">
            <v>รายเดือน</v>
          </cell>
        </row>
        <row r="163">
          <cell r="B163">
            <v>69079</v>
          </cell>
          <cell r="C163" t="str">
            <v>นายศรราม  พันธ์ดวง</v>
          </cell>
          <cell r="D163" t="str">
            <v>MR.SORNRAM PHANDUANG</v>
          </cell>
          <cell r="E163" t="str">
            <v>Male</v>
          </cell>
          <cell r="F163">
            <v>46163</v>
          </cell>
          <cell r="G163">
            <v>46223</v>
          </cell>
          <cell r="H163">
            <v>46253</v>
          </cell>
          <cell r="I163">
            <v>46282</v>
          </cell>
          <cell r="J163" t="str">
            <v>0 ปี 0 เดือน 4 วัน</v>
          </cell>
          <cell r="K163" t="str">
            <v>ประกอบ</v>
          </cell>
          <cell r="L163" t="str">
            <v>组装 H1 
เจ้าหน้าที่ประกอบ H1</v>
          </cell>
          <cell r="M163" t="str">
            <v>Assembly</v>
          </cell>
          <cell r="N163">
            <v>37339</v>
          </cell>
          <cell r="O163">
            <v>24</v>
          </cell>
          <cell r="P163" t="str">
            <v>064-075-1032</v>
          </cell>
          <cell r="Q163" t="str">
            <v>1-4309-012997-31-8</v>
          </cell>
          <cell r="R163" t="str">
            <v>ไทย</v>
          </cell>
          <cell r="S163" t="str">
            <v>泰国</v>
          </cell>
          <cell r="T163" t="str">
            <v>ม.3</v>
          </cell>
          <cell r="U163" t="str">
            <v>2 ม.10 ต.เซกา อ.เซกา จ.บึงกาฬ</v>
          </cell>
          <cell r="V163" t="str">
            <v>123/6 ม.4 ต.พนานิคม อ.นิคมพัฒนา จ.ระยอง</v>
          </cell>
          <cell r="W163" t="str">
            <v>รายเดือน</v>
          </cell>
        </row>
        <row r="164">
          <cell r="B164">
            <v>69080</v>
          </cell>
          <cell r="C164" t="str">
            <v>นายภิญโญ  อินทรสงเคราะห์</v>
          </cell>
          <cell r="D164" t="str">
            <v>MR.PHINYO AINTHARASONGKHOAL</v>
          </cell>
          <cell r="E164" t="str">
            <v>Male</v>
          </cell>
          <cell r="F164">
            <v>46163</v>
          </cell>
          <cell r="G164">
            <v>46223</v>
          </cell>
          <cell r="H164">
            <v>46253</v>
          </cell>
          <cell r="I164">
            <v>46282</v>
          </cell>
          <cell r="J164" t="str">
            <v>0 ปี 0 เดือน 4 วัน</v>
          </cell>
          <cell r="K164" t="str">
            <v>คลังสินค้า</v>
          </cell>
          <cell r="L164" t="str">
            <v>仓库管理员
เจ้าหน้าที่คลังสินค้า</v>
          </cell>
          <cell r="M164" t="str">
            <v>Warehouse</v>
          </cell>
          <cell r="N164">
            <v>36824</v>
          </cell>
          <cell r="O164">
            <v>25</v>
          </cell>
          <cell r="P164" t="str">
            <v>095-452-6081</v>
          </cell>
          <cell r="Q164" t="str">
            <v>1-4103-01139-75-4</v>
          </cell>
          <cell r="R164" t="str">
            <v>ไทย</v>
          </cell>
          <cell r="S164" t="str">
            <v>泰国</v>
          </cell>
          <cell r="T164" t="str">
            <v>ปวส.</v>
          </cell>
          <cell r="U164" t="str">
            <v>40/1 ม.1 ต.โนนทราย อ.หนองวัวซอ จ.อุดรธานี</v>
          </cell>
          <cell r="V164" t="str">
            <v>171/134 ม.6 ต.มาบยางพร อ.ปลวกแดง จ.ระยอง</v>
          </cell>
          <cell r="W164" t="str">
            <v>รายเดือน</v>
          </cell>
        </row>
        <row r="165">
          <cell r="B165">
            <v>69081</v>
          </cell>
          <cell r="C165" t="str">
            <v>นายธานินทร์  โพยนอก</v>
          </cell>
          <cell r="D165" t="str">
            <v>MR.TANIN POINOG</v>
          </cell>
          <cell r="E165" t="str">
            <v>Male</v>
          </cell>
          <cell r="F165">
            <v>46163</v>
          </cell>
          <cell r="G165">
            <v>46223</v>
          </cell>
          <cell r="H165">
            <v>46253</v>
          </cell>
          <cell r="I165">
            <v>46282</v>
          </cell>
          <cell r="J165" t="str">
            <v>0 ปี 0 เดือน 4 วัน</v>
          </cell>
          <cell r="K165" t="str">
            <v>Stamping</v>
          </cell>
          <cell r="L165" t="str">
            <v>冲压操作工150T
เจ้าหน้าที่ปั๊มงาน150ตัน</v>
          </cell>
          <cell r="M165" t="str">
            <v>Stamping</v>
          </cell>
          <cell r="N165">
            <v>38080</v>
          </cell>
          <cell r="O165">
            <v>22</v>
          </cell>
          <cell r="P165" t="str">
            <v>080-902-8707</v>
          </cell>
          <cell r="Q165" t="str">
            <v>1-4175-00037-12-5</v>
          </cell>
          <cell r="R165" t="str">
            <v>ไทย</v>
          </cell>
          <cell r="S165" t="str">
            <v>泰国</v>
          </cell>
          <cell r="T165" t="str">
            <v>ม.3</v>
          </cell>
          <cell r="U165" t="str">
            <v>132 ม.17 ต.บ้านดุง อ.บ้านดุง จ.อุดรธานี</v>
          </cell>
          <cell r="V165" t="str">
            <v>777/15 ม.1 ต.มาบยางพร อ.ปลวกแดง จ.ระยอง</v>
          </cell>
          <cell r="W165" t="str">
            <v>รายเดือน</v>
          </cell>
        </row>
        <row r="166">
          <cell r="B166">
            <v>69082</v>
          </cell>
          <cell r="C166" t="str">
            <v>นางสาวสุวลักษณ์  ศรีรัตน์</v>
          </cell>
          <cell r="D166" t="str">
            <v>MS.SUWALAK SRIRAT</v>
          </cell>
          <cell r="E166" t="str">
            <v>Female</v>
          </cell>
          <cell r="F166">
            <v>46163</v>
          </cell>
          <cell r="G166">
            <v>46223</v>
          </cell>
          <cell r="H166">
            <v>46253</v>
          </cell>
          <cell r="I166">
            <v>46282</v>
          </cell>
          <cell r="J166" t="str">
            <v>0 ปี 0 เดือน 4 วัน</v>
          </cell>
          <cell r="K166" t="str">
            <v>ประกอบ</v>
          </cell>
          <cell r="L166" t="str">
            <v>组装H1
เจ้าหน้าที่ประกอบH1</v>
          </cell>
          <cell r="M166" t="str">
            <v>Assembly</v>
          </cell>
          <cell r="N166">
            <v>37192</v>
          </cell>
          <cell r="O166">
            <v>24</v>
          </cell>
          <cell r="P166" t="str">
            <v>063-882-7761</v>
          </cell>
          <cell r="Q166" t="str">
            <v>1-4309-01293-33-9</v>
          </cell>
          <cell r="R166" t="str">
            <v>ไทย</v>
          </cell>
          <cell r="S166" t="str">
            <v>泰国</v>
          </cell>
          <cell r="T166" t="str">
            <v>ปวช.</v>
          </cell>
          <cell r="U166" t="str">
            <v>109 ม.1 ต.เซกา อ.เซกา จ.บึงกาฬ</v>
          </cell>
          <cell r="V166" t="str">
            <v>123/6 ม.4 ต.พนานิคม อ.นิคมพัฒนา จ.ระยอง</v>
          </cell>
          <cell r="W166" t="str">
            <v>รายเดือน</v>
          </cell>
        </row>
        <row r="167">
          <cell r="B167">
            <v>69083</v>
          </cell>
          <cell r="C167" t="str">
            <v>นางสาวรุ่งนภา เรืองรุ่ง</v>
          </cell>
          <cell r="D167" t="str">
            <v>MS.RUNGNAPHA RUEANGRUNG</v>
          </cell>
          <cell r="E167" t="str">
            <v>Female</v>
          </cell>
          <cell r="F167">
            <v>46163</v>
          </cell>
          <cell r="G167">
            <v>46223</v>
          </cell>
          <cell r="H167">
            <v>46253</v>
          </cell>
          <cell r="I167">
            <v>46282</v>
          </cell>
          <cell r="J167" t="str">
            <v>0 ปี 0 เดือน 4 วัน</v>
          </cell>
          <cell r="K167" t="str">
            <v>ประกอบ</v>
          </cell>
          <cell r="L167" t="str">
            <v>组装H1
เจ้าหน้าที่ประกอบH1</v>
          </cell>
          <cell r="M167" t="str">
            <v>Assembly</v>
          </cell>
          <cell r="N167">
            <v>35569</v>
          </cell>
          <cell r="O167">
            <v>29</v>
          </cell>
          <cell r="P167" t="str">
            <v>093-192-7115</v>
          </cell>
          <cell r="Q167" t="str">
            <v>1-1005-01414-58-1</v>
          </cell>
          <cell r="R167" t="str">
            <v>ไทย</v>
          </cell>
          <cell r="S167" t="str">
            <v>泰国</v>
          </cell>
          <cell r="T167" t="str">
            <v>ปวส.</v>
          </cell>
          <cell r="U167" t="str">
            <v>21 ม.1 ต.สงเปลือย อ.เขาวง จ.กาฬสินธุ์</v>
          </cell>
          <cell r="V167" t="str">
            <v>288/282 ม.3 ต.บ่อวิน อ.ศรีราชา จ.ชลบุรี</v>
          </cell>
          <cell r="W167" t="str">
            <v>รายเดือน</v>
          </cell>
        </row>
        <row r="168">
          <cell r="B168">
            <v>69084</v>
          </cell>
          <cell r="C168" t="str">
            <v>นายกฤษณะ โพศรี</v>
          </cell>
          <cell r="D168" t="str">
            <v>MR.KITSANA PHOSEE</v>
          </cell>
          <cell r="E168" t="str">
            <v>Male</v>
          </cell>
          <cell r="F168">
            <v>46163</v>
          </cell>
          <cell r="G168">
            <v>46223</v>
          </cell>
          <cell r="H168">
            <v>46253</v>
          </cell>
          <cell r="I168">
            <v>46282</v>
          </cell>
          <cell r="J168" t="str">
            <v>0 ปี 0 เดือน 4 วัน</v>
          </cell>
          <cell r="K168" t="str">
            <v>Equipment</v>
          </cell>
          <cell r="L168" t="str">
            <v>数控操作员CNCเจ้าหน้าที่ควบคุมเครื่องCNC</v>
          </cell>
          <cell r="M168" t="str">
            <v>Equipment</v>
          </cell>
          <cell r="N168">
            <v>36965</v>
          </cell>
          <cell r="O168">
            <v>25</v>
          </cell>
          <cell r="P168" t="str">
            <v>063-007-1647</v>
          </cell>
          <cell r="Q168" t="str">
            <v>1-8498-01191-94-6</v>
          </cell>
          <cell r="R168" t="str">
            <v>ไทย</v>
          </cell>
          <cell r="S168" t="str">
            <v>泰国</v>
          </cell>
          <cell r="T168" t="str">
            <v>ปวช.</v>
          </cell>
          <cell r="U168" t="str">
            <v>53 ม.2 ต.ป่าประดู่ อ.สำโรงทาบ จ.สุรินทร์</v>
          </cell>
          <cell r="V168" t="str">
            <v>269/8 ม.5 ต.มาบยางพร อ.ปลวกแดง จ.ระยอง</v>
          </cell>
          <cell r="W168" t="str">
            <v>รายเดือน</v>
          </cell>
        </row>
        <row r="169">
          <cell r="B169">
            <v>69085</v>
          </cell>
          <cell r="C169" t="str">
            <v>นายทศพณ นวลวัน</v>
          </cell>
          <cell r="D169" t="str">
            <v>MR.THOSSAPHON NUENWAN</v>
          </cell>
          <cell r="E169" t="str">
            <v>Male</v>
          </cell>
          <cell r="F169">
            <v>46163</v>
          </cell>
          <cell r="G169">
            <v>46223</v>
          </cell>
          <cell r="H169">
            <v>46253</v>
          </cell>
          <cell r="I169">
            <v>46282</v>
          </cell>
          <cell r="J169" t="str">
            <v>0 ปี 0 เดือน 4 วัน</v>
          </cell>
          <cell r="K169" t="str">
            <v>Bending</v>
          </cell>
          <cell r="L169" t="str">
            <v>折弯机操作员
เจ้าหน้าที่ควบคุมเครื่องBending</v>
          </cell>
          <cell r="M169" t="str">
            <v>Bending</v>
          </cell>
          <cell r="N169">
            <v>37032</v>
          </cell>
          <cell r="O169">
            <v>25</v>
          </cell>
          <cell r="P169" t="str">
            <v>098-754-3217</v>
          </cell>
          <cell r="Q169" t="str">
            <v>1-3391-00001-03-7</v>
          </cell>
          <cell r="R169" t="str">
            <v>ไทย</v>
          </cell>
          <cell r="S169" t="str">
            <v>泰国</v>
          </cell>
          <cell r="T169" t="str">
            <v>ม.3</v>
          </cell>
          <cell r="U169" t="str">
            <v>31 ม.7 ต.หนองบัวแดง อ.ศิลาลาด จ.ศรีสะเกษ</v>
          </cell>
          <cell r="V169" t="str">
            <v>5577/14 ม.4 ต.มาบยางพร อ.ปลวกแดง จ.ระยอง</v>
          </cell>
          <cell r="W169" t="str">
            <v>รายเดือน</v>
          </cell>
        </row>
        <row r="170">
          <cell r="B170">
            <v>69086</v>
          </cell>
          <cell r="C170" t="str">
            <v>นายธีรพงษ์ บุญคำ</v>
          </cell>
          <cell r="D170" t="str">
            <v>MR.TEERAPONG BOONKHAM</v>
          </cell>
          <cell r="E170" t="str">
            <v>Male</v>
          </cell>
          <cell r="F170">
            <v>46163</v>
          </cell>
          <cell r="G170">
            <v>46223</v>
          </cell>
          <cell r="H170">
            <v>46253</v>
          </cell>
          <cell r="I170">
            <v>46282</v>
          </cell>
          <cell r="J170" t="str">
            <v>0 ปี 0 เดือน 4 วัน</v>
          </cell>
          <cell r="K170" t="str">
            <v>Welding</v>
          </cell>
          <cell r="L170" t="str">
            <v>Robot焊接操作工
เจ้าหน้าที่เชื่อมโรบอท</v>
          </cell>
          <cell r="M170" t="str">
            <v>Welding</v>
          </cell>
          <cell r="N170">
            <v>38936</v>
          </cell>
          <cell r="O170">
            <v>19</v>
          </cell>
          <cell r="P170" t="str">
            <v>064-343-2958</v>
          </cell>
          <cell r="Q170" t="str">
            <v>1-3509-01043-20-1</v>
          </cell>
          <cell r="R170" t="str">
            <v>ไทย</v>
          </cell>
          <cell r="S170" t="str">
            <v>泰国</v>
          </cell>
          <cell r="T170" t="str">
            <v>ปวช.</v>
          </cell>
          <cell r="U170" t="str">
            <v>138 ม.4 ตไทยเจริญ อ.ไทยเจริญ จ.ยโสธร</v>
          </cell>
          <cell r="V170" t="str">
            <v>998/60 ม.1 ต.แม่น้ำคู้ อ.ปลวกแดง จ.ระยอง</v>
          </cell>
          <cell r="W170" t="str">
            <v>รายเดือน</v>
          </cell>
        </row>
        <row r="171">
          <cell r="B171">
            <v>69087</v>
          </cell>
          <cell r="C171" t="str">
            <v>นายวันชนะ คีรถรัมย์</v>
          </cell>
          <cell r="D171" t="str">
            <v>MR.WANCHANA DEERODRAM</v>
          </cell>
          <cell r="E171" t="str">
            <v>Male</v>
          </cell>
          <cell r="F171">
            <v>46163</v>
          </cell>
          <cell r="G171">
            <v>46223</v>
          </cell>
          <cell r="H171">
            <v>46253</v>
          </cell>
          <cell r="I171">
            <v>46282</v>
          </cell>
          <cell r="J171" t="str">
            <v>0 ปี 0 เดือน 4 วัน</v>
          </cell>
          <cell r="K171" t="str">
            <v>Welding</v>
          </cell>
          <cell r="L171" t="str">
            <v>Robot焊接操作工
เจ้าหน้าที่เชื่อมโรบอท</v>
          </cell>
          <cell r="M171" t="str">
            <v>Welding</v>
          </cell>
          <cell r="N171">
            <v>34209</v>
          </cell>
          <cell r="O171">
            <v>32</v>
          </cell>
          <cell r="P171" t="str">
            <v>063-602-6574</v>
          </cell>
          <cell r="Q171" t="str">
            <v>1-3110-00203-54-4</v>
          </cell>
          <cell r="R171" t="str">
            <v>ไทย</v>
          </cell>
          <cell r="S171" t="str">
            <v>泰国</v>
          </cell>
          <cell r="T171" t="str">
            <v>ม.3</v>
          </cell>
          <cell r="U171" t="str">
            <v>67 ม.16 ต.หินโคน อ.ลำปลายมาศ จ.บุรีรัมย์</v>
          </cell>
          <cell r="V171" t="str">
            <v>290/41 ม.6 ต.มาบยางพร อ.ปลวกแดง จ.ระยอง</v>
          </cell>
          <cell r="W171" t="str">
            <v>รายเดือน</v>
          </cell>
        </row>
        <row r="172">
          <cell r="B172">
            <v>69088</v>
          </cell>
          <cell r="C172" t="str">
            <v>นายอภิสิทธิ์ เกยสุวรรณ์</v>
          </cell>
          <cell r="D172" t="str">
            <v>MR.APHISIT KOEISUWAN</v>
          </cell>
          <cell r="E172" t="str">
            <v>Male</v>
          </cell>
          <cell r="F172">
            <v>46163</v>
          </cell>
          <cell r="G172">
            <v>46223</v>
          </cell>
          <cell r="H172">
            <v>46253</v>
          </cell>
          <cell r="I172">
            <v>46282</v>
          </cell>
          <cell r="J172" t="str">
            <v>0 ปี 0 เดือน 4 วัน</v>
          </cell>
          <cell r="K172" t="str">
            <v>Welding</v>
          </cell>
          <cell r="L172" t="str">
            <v>Robot焊接操作工
เจ้าหน้าที่เชื่อมโรบอท</v>
          </cell>
          <cell r="M172" t="str">
            <v>Welding</v>
          </cell>
          <cell r="N172">
            <v>36291</v>
          </cell>
          <cell r="O172">
            <v>27</v>
          </cell>
          <cell r="P172" t="str">
            <v>063-972-0361</v>
          </cell>
          <cell r="Q172" t="str">
            <v>1-3610-00311-77-1</v>
          </cell>
          <cell r="R172" t="str">
            <v>ไทย</v>
          </cell>
          <cell r="S172" t="str">
            <v>泰国</v>
          </cell>
          <cell r="T172" t="str">
            <v>ม.6</v>
          </cell>
          <cell r="U172" t="str">
            <v>215 ม.15 ต.บ้านหัน อ.เกษตรสมบูรณ์ จ.ชัยภูมิ</v>
          </cell>
          <cell r="V172" t="str">
            <v>29/16 ม.8 ต.หนองปรือ อ.บางละมุง จ.ชลบุรี</v>
          </cell>
          <cell r="W172" t="str">
            <v>รายเดือน</v>
          </cell>
        </row>
        <row r="173">
          <cell r="B173">
            <v>69089</v>
          </cell>
          <cell r="C173" t="str">
            <v>นายศตวรรษ ขันข่อย</v>
          </cell>
          <cell r="D173" t="str">
            <v>MR.SATTAWAN KHANKHOY</v>
          </cell>
          <cell r="E173" t="str">
            <v>Male</v>
          </cell>
          <cell r="F173">
            <v>46163</v>
          </cell>
          <cell r="G173">
            <v>46223</v>
          </cell>
          <cell r="H173">
            <v>46253</v>
          </cell>
          <cell r="I173">
            <v>46282</v>
          </cell>
          <cell r="J173" t="str">
            <v>0 ปี 0 เดือน 4 วัน</v>
          </cell>
          <cell r="K173" t="str">
            <v>Stamping</v>
          </cell>
          <cell r="L173" t="str">
            <v>冲压操作工150T
เจ้าหน้าที่ปั๊มงาน150ตัน</v>
          </cell>
          <cell r="M173" t="str">
            <v>Stamping</v>
          </cell>
          <cell r="N173">
            <v>35742</v>
          </cell>
          <cell r="O173">
            <v>28</v>
          </cell>
          <cell r="P173" t="str">
            <v>063-157-4524</v>
          </cell>
          <cell r="Q173" t="str">
            <v>1-6299-00443-90-2</v>
          </cell>
          <cell r="R173" t="str">
            <v>ไทย</v>
          </cell>
          <cell r="S173" t="str">
            <v>泰国</v>
          </cell>
          <cell r="T173" t="str">
            <v>ม.3</v>
          </cell>
          <cell r="U173" t="str">
            <v>22/2 ม.11 ต.ประชาสุขสันต์ อ.ลานกระบือ จ.กำแพงเพชร</v>
          </cell>
          <cell r="V173" t="str">
            <v>23/85 ม.4 ต.บ่อวิน อ.ศรีราชา จ.ชลบุรี</v>
          </cell>
          <cell r="W173" t="str">
            <v>รายเดือน</v>
          </cell>
        </row>
        <row r="174">
          <cell r="B174">
            <v>69090</v>
          </cell>
          <cell r="C174" t="str">
            <v>นางสาวณิชชภัทร ร่มเย็น</v>
          </cell>
          <cell r="D174" t="str">
            <v>MS.NITCHAPAT ROMYEN</v>
          </cell>
          <cell r="E174" t="str">
            <v>Female</v>
          </cell>
          <cell r="F174">
            <v>46164</v>
          </cell>
          <cell r="G174">
            <v>46224</v>
          </cell>
          <cell r="H174">
            <v>46254</v>
          </cell>
          <cell r="I174">
            <v>46283</v>
          </cell>
          <cell r="J174" t="str">
            <v>0 ปี 0 เดือน 3 วัน</v>
          </cell>
          <cell r="K174" t="str">
            <v>บริหารและวางแผนการผลิต</v>
          </cell>
          <cell r="L174" t="str">
            <v>生产计划员中文 เจ้าหน้าที่วางแผนการผลิต</v>
          </cell>
          <cell r="M174" t="str">
            <v>Planning</v>
          </cell>
          <cell r="N174">
            <v>34247</v>
          </cell>
          <cell r="O174">
            <v>32</v>
          </cell>
          <cell r="P174" t="str">
            <v>099-135-5787</v>
          </cell>
          <cell r="Q174" t="str">
            <v>1-6097-00140-44-2</v>
          </cell>
          <cell r="R174" t="str">
            <v>ไทย</v>
          </cell>
          <cell r="S174" t="str">
            <v>泰国</v>
          </cell>
          <cell r="T174" t="str">
            <v>ป.ตรี</v>
          </cell>
          <cell r="U174" t="str">
            <v>39/91 ซ.อุดมสุข ถ.วัดโขดหิน-เขาไผ่ ต.ทับมา อ.เมืองระยอง จ.ระยอง</v>
          </cell>
          <cell r="V174" t="str">
            <v>39/91 ซ.อุดมสุข ถ.วัดโขดหิน-เขาไผ่ ต.ทับมา อ.เมืองระยอง จ.ระยอง</v>
          </cell>
          <cell r="W174" t="str">
            <v>รายเดือน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-Times New Roman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Times New Roman"/>
        <a:ea typeface=""/>
        <a:cs typeface=""/>
        <a:font script="Jpan" typeface="ＭＳ Ｐ明朝"/>
        <a:font script="Hang" typeface="바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D0E23-466A-4440-B8CA-73B60149755E}">
  <dimension ref="A1:I7"/>
  <sheetViews>
    <sheetView zoomScale="85" zoomScaleNormal="85" workbookViewId="0">
      <pane xSplit="3" ySplit="3" topLeftCell="D4" activePane="bottomRight" state="frozen"/>
      <selection pane="topRight"/>
      <selection pane="bottomLeft"/>
      <selection pane="bottomRight" activeCell="I14" sqref="I14"/>
    </sheetView>
  </sheetViews>
  <sheetFormatPr defaultColWidth="8.77734375" defaultRowHeight="13.8"/>
  <cols>
    <col min="1" max="1" width="17.6640625" style="4" customWidth="1"/>
    <col min="2" max="2" width="43.5546875" style="4" customWidth="1"/>
    <col min="3" max="3" width="45.44140625" style="4" customWidth="1"/>
    <col min="4" max="5" width="15.21875" style="4" customWidth="1"/>
    <col min="6" max="6" width="15.21875" style="5" customWidth="1"/>
    <col min="7" max="7" width="18.21875" style="4" customWidth="1"/>
    <col min="8" max="8" width="33.88671875" style="4" customWidth="1"/>
    <col min="9" max="9" width="27.109375" style="6" customWidth="1"/>
    <col min="10" max="16384" width="8.77734375" style="4"/>
  </cols>
  <sheetData>
    <row r="1" spans="1:9" ht="17.399999999999999">
      <c r="A1" s="1" t="s">
        <v>0</v>
      </c>
      <c r="B1" s="2"/>
      <c r="C1" s="3"/>
    </row>
    <row r="2" spans="1:9" ht="33" customHeight="1">
      <c r="A2" s="7" t="s">
        <v>1</v>
      </c>
      <c r="B2" s="8" t="s">
        <v>2</v>
      </c>
      <c r="I2" s="4"/>
    </row>
    <row r="3" spans="1:9" s="6" customFormat="1" ht="31.8" customHeight="1">
      <c r="A3" s="28" t="s">
        <v>283</v>
      </c>
      <c r="B3" s="28" t="s">
        <v>284</v>
      </c>
      <c r="C3" s="28" t="s">
        <v>285</v>
      </c>
      <c r="D3" s="28" t="s">
        <v>290</v>
      </c>
      <c r="E3" s="28" t="s">
        <v>286</v>
      </c>
      <c r="F3" s="29" t="s">
        <v>287</v>
      </c>
      <c r="G3" s="28" t="s">
        <v>288</v>
      </c>
      <c r="H3" s="28" t="s">
        <v>289</v>
      </c>
      <c r="I3" s="28" t="s">
        <v>293</v>
      </c>
    </row>
    <row r="4" spans="1:9" ht="23.4">
      <c r="A4" s="14">
        <v>61002</v>
      </c>
      <c r="B4" s="12" t="str">
        <f>VLOOKUP(A4,[1]DATA!$B:$C,2,0)</f>
        <v>นายวีรพล แสนสิม</v>
      </c>
      <c r="C4" s="12" t="s">
        <v>129</v>
      </c>
      <c r="D4" s="9" t="str">
        <f>VLOOKUP(A4,[2]DATA!$B:$E,4,0)</f>
        <v>Male</v>
      </c>
      <c r="E4" s="9" t="s">
        <v>4</v>
      </c>
      <c r="F4" s="10">
        <f>VLOOKUP(A4,[2]DATA!$B:$F,5,0)</f>
        <v>43222</v>
      </c>
      <c r="G4" s="9" t="s">
        <v>5</v>
      </c>
      <c r="H4" s="9" t="s">
        <v>130</v>
      </c>
      <c r="I4" s="9" t="s">
        <v>292</v>
      </c>
    </row>
    <row r="5" spans="1:9" ht="23.4">
      <c r="A5" s="15">
        <v>69008</v>
      </c>
      <c r="B5" s="12" t="str">
        <f>VLOOKUP(A5,[1]DATA!$B:$C,2,0)</f>
        <v>นายวชิรวิทย์  ร่องจิต</v>
      </c>
      <c r="C5" s="16" t="s">
        <v>133</v>
      </c>
      <c r="D5" s="9" t="str">
        <f>VLOOKUP(A5,[2]DATA!$B:$E,4,0)</f>
        <v>Male</v>
      </c>
      <c r="E5" s="9" t="s">
        <v>4</v>
      </c>
      <c r="F5" s="10">
        <f>VLOOKUP(A5,[2]DATA!$B:$F,5,0)</f>
        <v>46048</v>
      </c>
      <c r="G5" s="9" t="s">
        <v>5</v>
      </c>
      <c r="H5" s="25" t="s">
        <v>134</v>
      </c>
      <c r="I5" s="9" t="s">
        <v>292</v>
      </c>
    </row>
    <row r="6" spans="1:9" ht="23.4">
      <c r="A6" s="17">
        <v>69091</v>
      </c>
      <c r="B6" s="13" t="s">
        <v>135</v>
      </c>
      <c r="C6" s="13" t="s">
        <v>136</v>
      </c>
      <c r="D6" s="9" t="s">
        <v>12</v>
      </c>
      <c r="E6" s="9" t="s">
        <v>4</v>
      </c>
      <c r="F6" s="10">
        <v>46167</v>
      </c>
      <c r="G6" s="9" t="s">
        <v>5</v>
      </c>
      <c r="H6" s="9" t="s">
        <v>137</v>
      </c>
      <c r="I6" s="9" t="s">
        <v>292</v>
      </c>
    </row>
    <row r="7" spans="1:9" ht="23.4">
      <c r="A7" s="11">
        <v>66097</v>
      </c>
      <c r="B7" s="12" t="str">
        <f>VLOOKUP(A7,[1]DATA!$B:$C,2,0)</f>
        <v>MR.RAHUL SUDHAKARAN</v>
      </c>
      <c r="C7" s="12" t="s">
        <v>182</v>
      </c>
      <c r="D7" s="9" t="str">
        <f>VLOOKUP(A7,[2]DATA!$B:$E,4,0)</f>
        <v>Male</v>
      </c>
      <c r="E7" s="9" t="s">
        <v>183</v>
      </c>
      <c r="F7" s="10">
        <f>VLOOKUP(A7,[2]DATA!$B:$F,5,0)</f>
        <v>45200</v>
      </c>
      <c r="G7" s="9" t="s">
        <v>5</v>
      </c>
      <c r="H7" s="9" t="s">
        <v>181</v>
      </c>
      <c r="I7" s="9" t="s">
        <v>292</v>
      </c>
    </row>
  </sheetData>
  <autoFilter ref="A3:I6" xr:uid="{00000000-0009-0000-0000-00000D000000}"/>
  <conditionalFormatting sqref="A4:B4 B5">
    <cfRule type="duplicateValues" dxfId="53" priority="59"/>
  </conditionalFormatting>
  <conditionalFormatting sqref="A4:B5">
    <cfRule type="duplicateValues" dxfId="52" priority="61"/>
  </conditionalFormatting>
  <conditionalFormatting sqref="A6">
    <cfRule type="duplicateValues" dxfId="51" priority="62"/>
  </conditionalFormatting>
  <conditionalFormatting sqref="A7:B7">
    <cfRule type="duplicateValues" dxfId="50" priority="1"/>
  </conditionalFormatting>
  <conditionalFormatting sqref="B7">
    <cfRule type="duplicateValues" dxfId="49" priority="2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6731C-5D8B-4AAA-A843-EF2F6C2AE53B}">
  <dimension ref="A1:I6"/>
  <sheetViews>
    <sheetView zoomScale="70" zoomScaleNormal="70" workbookViewId="0">
      <pane xSplit="3" ySplit="3" topLeftCell="D4" activePane="bottomRight" state="frozen"/>
      <selection pane="topRight"/>
      <selection pane="bottomLeft"/>
      <selection pane="bottomRight" activeCell="I17" sqref="I17:I18"/>
    </sheetView>
  </sheetViews>
  <sheetFormatPr defaultColWidth="8.77734375" defaultRowHeight="13.8"/>
  <cols>
    <col min="1" max="1" width="16.88671875" style="4" customWidth="1"/>
    <col min="2" max="2" width="43.5546875" style="4" customWidth="1"/>
    <col min="3" max="3" width="45.44140625" style="4" customWidth="1"/>
    <col min="4" max="5" width="15.21875" style="4" customWidth="1"/>
    <col min="6" max="6" width="15.21875" style="5" customWidth="1"/>
    <col min="7" max="7" width="18.21875" style="4" customWidth="1"/>
    <col min="8" max="8" width="33.88671875" style="4" customWidth="1"/>
    <col min="9" max="9" width="27.5546875" style="6" customWidth="1"/>
    <col min="10" max="16384" width="8.77734375" style="4"/>
  </cols>
  <sheetData>
    <row r="1" spans="1:9" ht="17.399999999999999">
      <c r="A1" s="1" t="s">
        <v>0</v>
      </c>
      <c r="B1" s="2"/>
      <c r="C1" s="3"/>
    </row>
    <row r="2" spans="1:9" ht="33" customHeight="1">
      <c r="A2" s="7" t="s">
        <v>1</v>
      </c>
      <c r="B2" s="8" t="s">
        <v>2</v>
      </c>
      <c r="I2" s="4"/>
    </row>
    <row r="3" spans="1:9" s="6" customFormat="1" ht="31.8" customHeight="1">
      <c r="A3" s="28" t="s">
        <v>283</v>
      </c>
      <c r="B3" s="28" t="s">
        <v>284</v>
      </c>
      <c r="C3" s="28" t="s">
        <v>285</v>
      </c>
      <c r="D3" s="28" t="s">
        <v>290</v>
      </c>
      <c r="E3" s="28" t="s">
        <v>286</v>
      </c>
      <c r="F3" s="29" t="s">
        <v>287</v>
      </c>
      <c r="G3" s="28" t="s">
        <v>288</v>
      </c>
      <c r="H3" s="28" t="s">
        <v>289</v>
      </c>
      <c r="I3" s="28" t="s">
        <v>291</v>
      </c>
    </row>
    <row r="4" spans="1:9" ht="27.6">
      <c r="A4" s="11">
        <v>66051</v>
      </c>
      <c r="B4" s="12" t="str">
        <f>VLOOKUP(A4,[1]DATA!$B:$C,2,0)</f>
        <v>นางสาวกวิสรา สุภาพันธ์</v>
      </c>
      <c r="C4" s="12" t="s">
        <v>131</v>
      </c>
      <c r="D4" s="9" t="str">
        <f>VLOOKUP(A4,[2]DATA!$B:$E,4,0)</f>
        <v>Female</v>
      </c>
      <c r="E4" s="9" t="s">
        <v>4</v>
      </c>
      <c r="F4" s="10">
        <f>VLOOKUP(A4,[2]DATA!$B:$F,5,0)</f>
        <v>45124</v>
      </c>
      <c r="G4" s="9" t="s">
        <v>5</v>
      </c>
      <c r="H4" s="9" t="s">
        <v>281</v>
      </c>
      <c r="I4" s="9" t="s">
        <v>294</v>
      </c>
    </row>
    <row r="5" spans="1:9" ht="23.4">
      <c r="A5" s="17">
        <v>68061</v>
      </c>
      <c r="B5" s="12" t="str">
        <f>VLOOKUP(A5,[1]DATA!$B:$C,2,0)</f>
        <v>นางสาวจิตรลดา  พิพัฒนาสุภรณ์</v>
      </c>
      <c r="C5" s="20" t="s">
        <v>132</v>
      </c>
      <c r="D5" s="9" t="str">
        <f>VLOOKUP(A5,[2]DATA!$B:$E,4,0)</f>
        <v>Female</v>
      </c>
      <c r="E5" s="9" t="s">
        <v>4</v>
      </c>
      <c r="F5" s="10">
        <f>VLOOKUP(A5,[2]DATA!$B:$F,5,0)</f>
        <v>45974</v>
      </c>
      <c r="G5" s="9" t="s">
        <v>5</v>
      </c>
      <c r="H5" s="9" t="s">
        <v>282</v>
      </c>
      <c r="I5" s="9" t="s">
        <v>294</v>
      </c>
    </row>
    <row r="6" spans="1:9" ht="23.4">
      <c r="A6" s="17">
        <v>69103</v>
      </c>
      <c r="B6" s="13" t="s">
        <v>138</v>
      </c>
      <c r="C6" s="13" t="s">
        <v>139</v>
      </c>
      <c r="D6" s="9" t="s">
        <v>75</v>
      </c>
      <c r="E6" s="9" t="s">
        <v>4</v>
      </c>
      <c r="F6" s="10">
        <v>46202</v>
      </c>
      <c r="G6" s="9" t="s">
        <v>5</v>
      </c>
      <c r="H6" s="9" t="s">
        <v>140</v>
      </c>
      <c r="I6" s="9" t="s">
        <v>294</v>
      </c>
    </row>
  </sheetData>
  <autoFilter ref="A3:I6" xr:uid="{00000000-0009-0000-0000-00000D000000}"/>
  <conditionalFormatting sqref="A6">
    <cfRule type="duplicateValues" dxfId="48" priority="52"/>
  </conditionalFormatting>
  <conditionalFormatting sqref="B4:B5">
    <cfRule type="duplicateValues" dxfId="47" priority="53"/>
  </conditionalFormatting>
  <conditionalFormatting sqref="A4:B5">
    <cfRule type="duplicateValues" dxfId="46" priority="56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A1998-EF3B-4B0C-8EC0-7E4570CCB636}">
  <dimension ref="A1:J7"/>
  <sheetViews>
    <sheetView zoomScale="85" zoomScaleNormal="85" workbookViewId="0">
      <pane xSplit="3" ySplit="3" topLeftCell="D4" activePane="bottomRight" state="frozen"/>
      <selection pane="topRight"/>
      <selection pane="bottomLeft"/>
      <selection pane="bottomRight" activeCell="I4" sqref="I4:I7"/>
    </sheetView>
  </sheetViews>
  <sheetFormatPr defaultColWidth="8.77734375" defaultRowHeight="13.8"/>
  <cols>
    <col min="1" max="1" width="16.88671875" style="4" customWidth="1"/>
    <col min="2" max="2" width="43.5546875" style="4" customWidth="1"/>
    <col min="3" max="3" width="45.44140625" style="4" customWidth="1"/>
    <col min="4" max="5" width="15.21875" style="4" customWidth="1"/>
    <col min="6" max="6" width="15.21875" style="5" customWidth="1"/>
    <col min="7" max="7" width="18.21875" style="4" customWidth="1"/>
    <col min="8" max="8" width="33.88671875" style="4" customWidth="1"/>
    <col min="9" max="9" width="27.109375" style="6" customWidth="1"/>
    <col min="10" max="16384" width="8.77734375" style="4"/>
  </cols>
  <sheetData>
    <row r="1" spans="1:9" ht="17.399999999999999">
      <c r="A1" s="1" t="s">
        <v>0</v>
      </c>
      <c r="B1" s="2"/>
      <c r="C1" s="3"/>
    </row>
    <row r="2" spans="1:9" ht="33" customHeight="1">
      <c r="A2" s="7" t="s">
        <v>1</v>
      </c>
      <c r="B2" s="8" t="s">
        <v>2</v>
      </c>
      <c r="I2" s="4"/>
    </row>
    <row r="3" spans="1:9" s="6" customFormat="1" ht="31.8" customHeight="1">
      <c r="A3" s="28" t="s">
        <v>283</v>
      </c>
      <c r="B3" s="28" t="s">
        <v>284</v>
      </c>
      <c r="C3" s="28" t="s">
        <v>285</v>
      </c>
      <c r="D3" s="28" t="s">
        <v>290</v>
      </c>
      <c r="E3" s="28" t="s">
        <v>286</v>
      </c>
      <c r="F3" s="29" t="s">
        <v>287</v>
      </c>
      <c r="G3" s="28" t="s">
        <v>288</v>
      </c>
      <c r="H3" s="28" t="s">
        <v>289</v>
      </c>
      <c r="I3" s="28" t="s">
        <v>291</v>
      </c>
    </row>
    <row r="4" spans="1:9" ht="27.6">
      <c r="A4" s="17">
        <v>67160</v>
      </c>
      <c r="B4" s="12" t="str">
        <f>VLOOKUP(A4,[1]DATA!$B:$C,2,0)</f>
        <v>นายวรรณธนะ  ผูกฟัก</v>
      </c>
      <c r="C4" s="20" t="s">
        <v>120</v>
      </c>
      <c r="D4" s="9" t="str">
        <f>VLOOKUP(A4,[2]DATA!$B:$E,4,0)</f>
        <v>Male</v>
      </c>
      <c r="E4" s="9" t="s">
        <v>4</v>
      </c>
      <c r="F4" s="10">
        <f>VLOOKUP(A4,[2]DATA!$B:$F,5,0)</f>
        <v>45632</v>
      </c>
      <c r="G4" s="9" t="s">
        <v>5</v>
      </c>
      <c r="H4" s="9" t="s">
        <v>121</v>
      </c>
      <c r="I4" s="9" t="s">
        <v>295</v>
      </c>
    </row>
    <row r="5" spans="1:9" ht="23.4">
      <c r="A5" s="17">
        <v>69113</v>
      </c>
      <c r="B5" s="13" t="s">
        <v>123</v>
      </c>
      <c r="C5" s="13" t="s">
        <v>124</v>
      </c>
      <c r="D5" s="9" t="s">
        <v>12</v>
      </c>
      <c r="E5" s="9" t="s">
        <v>4</v>
      </c>
      <c r="F5" s="10">
        <v>46224</v>
      </c>
      <c r="G5" s="9" t="s">
        <v>5</v>
      </c>
      <c r="H5" s="9" t="s">
        <v>122</v>
      </c>
      <c r="I5" s="9" t="s">
        <v>295</v>
      </c>
    </row>
    <row r="6" spans="1:9" ht="23.4">
      <c r="A6" s="17">
        <v>69033</v>
      </c>
      <c r="B6" s="13" t="s">
        <v>125</v>
      </c>
      <c r="C6" s="13" t="s">
        <v>126</v>
      </c>
      <c r="D6" s="9" t="s">
        <v>12</v>
      </c>
      <c r="E6" s="9" t="s">
        <v>4</v>
      </c>
      <c r="F6" s="10">
        <v>46087</v>
      </c>
      <c r="G6" s="9" t="s">
        <v>5</v>
      </c>
      <c r="H6" s="9" t="s">
        <v>122</v>
      </c>
      <c r="I6" s="9" t="s">
        <v>295</v>
      </c>
    </row>
    <row r="7" spans="1:9" ht="23.4">
      <c r="A7" s="17">
        <v>69046</v>
      </c>
      <c r="B7" s="13" t="s">
        <v>127</v>
      </c>
      <c r="C7" s="13" t="s">
        <v>128</v>
      </c>
      <c r="D7" s="9" t="s">
        <v>12</v>
      </c>
      <c r="E7" s="9" t="s">
        <v>4</v>
      </c>
      <c r="F7" s="10">
        <v>46104</v>
      </c>
      <c r="G7" s="9" t="s">
        <v>5</v>
      </c>
      <c r="H7" s="9" t="s">
        <v>122</v>
      </c>
      <c r="I7" s="9" t="s">
        <v>295</v>
      </c>
    </row>
  </sheetData>
  <autoFilter ref="A3:I5" xr:uid="{00000000-0009-0000-0000-000009000000}"/>
  <conditionalFormatting sqref="A5:A7">
    <cfRule type="duplicateValues" dxfId="24" priority="1"/>
  </conditionalFormatting>
  <conditionalFormatting sqref="A4:B4">
    <cfRule type="duplicateValues" dxfId="23" priority="2"/>
  </conditionalFormatting>
  <conditionalFormatting sqref="B4">
    <cfRule type="duplicateValues" dxfId="22" priority="3"/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882A7-935B-4A0D-95F2-39BB0286F286}">
  <dimension ref="A1:J10"/>
  <sheetViews>
    <sheetView zoomScale="85" zoomScaleNormal="85" workbookViewId="0">
      <pane xSplit="3" ySplit="3" topLeftCell="E4" activePane="bottomRight" state="frozen"/>
      <selection pane="topRight"/>
      <selection pane="bottomLeft"/>
      <selection pane="bottomRight" activeCell="I4" sqref="I4:I10"/>
    </sheetView>
  </sheetViews>
  <sheetFormatPr defaultColWidth="8.77734375" defaultRowHeight="13.8"/>
  <cols>
    <col min="1" max="1" width="16.88671875" style="4" customWidth="1"/>
    <col min="2" max="2" width="43.5546875" style="4" customWidth="1"/>
    <col min="3" max="3" width="45.44140625" style="4" customWidth="1"/>
    <col min="4" max="5" width="15.21875" style="4" customWidth="1"/>
    <col min="6" max="6" width="15.21875" style="5" customWidth="1"/>
    <col min="7" max="7" width="18.21875" style="4" customWidth="1"/>
    <col min="8" max="8" width="33.88671875" style="4" customWidth="1"/>
    <col min="9" max="9" width="27.5546875" style="6" customWidth="1"/>
    <col min="10" max="16384" width="8.77734375" style="4"/>
  </cols>
  <sheetData>
    <row r="1" spans="1:9" ht="17.399999999999999">
      <c r="A1" s="1" t="s">
        <v>0</v>
      </c>
      <c r="B1" s="2"/>
      <c r="C1" s="3"/>
    </row>
    <row r="2" spans="1:9" ht="33" customHeight="1">
      <c r="A2" s="7" t="s">
        <v>1</v>
      </c>
      <c r="B2" s="8" t="s">
        <v>2</v>
      </c>
      <c r="I2" s="4"/>
    </row>
    <row r="3" spans="1:9" s="6" customFormat="1" ht="31.8" customHeight="1">
      <c r="A3" s="28" t="s">
        <v>283</v>
      </c>
      <c r="B3" s="28" t="s">
        <v>284</v>
      </c>
      <c r="C3" s="28" t="s">
        <v>285</v>
      </c>
      <c r="D3" s="28" t="s">
        <v>290</v>
      </c>
      <c r="E3" s="28" t="s">
        <v>286</v>
      </c>
      <c r="F3" s="29" t="s">
        <v>287</v>
      </c>
      <c r="G3" s="28" t="s">
        <v>288</v>
      </c>
      <c r="H3" s="28" t="s">
        <v>289</v>
      </c>
      <c r="I3" s="28" t="s">
        <v>291</v>
      </c>
    </row>
    <row r="4" spans="1:9" ht="23.4">
      <c r="A4" s="11">
        <v>66029</v>
      </c>
      <c r="B4" s="12" t="str">
        <f>VLOOKUP(A4,[1]DATA!$B:$C,2,0)</f>
        <v>นายฐานันดร โททำ</v>
      </c>
      <c r="C4" s="12" t="s">
        <v>179</v>
      </c>
      <c r="D4" s="9" t="str">
        <f>VLOOKUP(A4,[2]DATA!$B:$E,4,0)</f>
        <v>Male</v>
      </c>
      <c r="E4" s="9" t="s">
        <v>4</v>
      </c>
      <c r="F4" s="10">
        <f>VLOOKUP(A4,[2]DATA!$B:$F,5,0)</f>
        <v>45037</v>
      </c>
      <c r="G4" s="9" t="s">
        <v>5</v>
      </c>
      <c r="H4" s="9" t="s">
        <v>180</v>
      </c>
      <c r="I4" s="9" t="s">
        <v>296</v>
      </c>
    </row>
    <row r="5" spans="1:9" ht="23.4">
      <c r="A5" s="17">
        <v>68063</v>
      </c>
      <c r="B5" s="12" t="str">
        <f>VLOOKUP(A5,[1]DATA!$B:$C,2,0)</f>
        <v>นายพงษ์ศักดิ์  ไชยคุณ</v>
      </c>
      <c r="C5" s="20" t="s">
        <v>184</v>
      </c>
      <c r="D5" s="9" t="str">
        <f>VLOOKUP(A5,[2]DATA!$B:$E,4,0)</f>
        <v>Male</v>
      </c>
      <c r="E5" s="9" t="s">
        <v>4</v>
      </c>
      <c r="F5" s="10">
        <f>VLOOKUP(A5,[2]DATA!$B:$F,5,0)</f>
        <v>45999</v>
      </c>
      <c r="G5" s="9" t="s">
        <v>5</v>
      </c>
      <c r="H5" s="9" t="s">
        <v>181</v>
      </c>
      <c r="I5" s="9" t="s">
        <v>296</v>
      </c>
    </row>
    <row r="6" spans="1:9" ht="22.8" customHeight="1">
      <c r="A6" s="15">
        <v>69015</v>
      </c>
      <c r="B6" s="12" t="str">
        <f>VLOOKUP(A6,[1]DATA!$B:$C,2,0)</f>
        <v>นายรณกฤต กาทอง</v>
      </c>
      <c r="C6" s="16" t="s">
        <v>185</v>
      </c>
      <c r="D6" s="9" t="s">
        <v>12</v>
      </c>
      <c r="E6" s="9" t="s">
        <v>4</v>
      </c>
      <c r="F6" s="10">
        <f>VLOOKUP(A6,[2]DATA!$B:$F,5,0)</f>
        <v>46069</v>
      </c>
      <c r="G6" s="9" t="s">
        <v>5</v>
      </c>
      <c r="H6" s="9" t="s">
        <v>181</v>
      </c>
      <c r="I6" s="9" t="s">
        <v>296</v>
      </c>
    </row>
    <row r="7" spans="1:9" ht="23.4">
      <c r="A7" s="17">
        <v>69106</v>
      </c>
      <c r="B7" s="13" t="s">
        <v>186</v>
      </c>
      <c r="C7" s="13" t="s">
        <v>187</v>
      </c>
      <c r="D7" s="9" t="s">
        <v>12</v>
      </c>
      <c r="E7" s="9" t="s">
        <v>4</v>
      </c>
      <c r="F7" s="10">
        <v>46209</v>
      </c>
      <c r="G7" s="9" t="s">
        <v>5</v>
      </c>
      <c r="H7" s="9" t="s">
        <v>181</v>
      </c>
      <c r="I7" s="9" t="s">
        <v>296</v>
      </c>
    </row>
    <row r="8" spans="1:9" ht="23.4">
      <c r="A8" s="17">
        <v>69107</v>
      </c>
      <c r="B8" s="13" t="s">
        <v>188</v>
      </c>
      <c r="C8" s="13" t="s">
        <v>189</v>
      </c>
      <c r="D8" s="9" t="s">
        <v>12</v>
      </c>
      <c r="E8" s="9" t="s">
        <v>4</v>
      </c>
      <c r="F8" s="10">
        <v>46211</v>
      </c>
      <c r="G8" s="9" t="s">
        <v>5</v>
      </c>
      <c r="H8" s="9" t="s">
        <v>180</v>
      </c>
      <c r="I8" s="9" t="s">
        <v>296</v>
      </c>
    </row>
    <row r="9" spans="1:9" ht="23.4">
      <c r="A9" s="17">
        <v>69059</v>
      </c>
      <c r="B9" s="12" t="str">
        <f>VLOOKUP(A9,[1]DATA!$B:$C,2,0)</f>
        <v>นายณัฐพงษ์ บัวงาม</v>
      </c>
      <c r="C9" s="16" t="s">
        <v>190</v>
      </c>
      <c r="D9" s="9" t="s">
        <v>12</v>
      </c>
      <c r="E9" s="9" t="s">
        <v>4</v>
      </c>
      <c r="F9" s="10">
        <v>46132</v>
      </c>
      <c r="G9" s="9" t="s">
        <v>5</v>
      </c>
      <c r="H9" s="9" t="s">
        <v>181</v>
      </c>
      <c r="I9" s="9" t="s">
        <v>296</v>
      </c>
    </row>
    <row r="10" spans="1:9" ht="23.4">
      <c r="A10" s="17">
        <v>69097</v>
      </c>
      <c r="B10" s="13" t="s">
        <v>191</v>
      </c>
      <c r="C10" s="13" t="s">
        <v>192</v>
      </c>
      <c r="D10" s="9" t="s">
        <v>12</v>
      </c>
      <c r="E10" s="9" t="s">
        <v>4</v>
      </c>
      <c r="F10" s="10">
        <v>46192</v>
      </c>
      <c r="G10" s="9" t="s">
        <v>5</v>
      </c>
      <c r="H10" s="9" t="s">
        <v>181</v>
      </c>
      <c r="I10" s="9" t="s">
        <v>296</v>
      </c>
    </row>
  </sheetData>
  <autoFilter ref="A3:I8" xr:uid="{00000000-0009-0000-0000-000009000000}"/>
  <conditionalFormatting sqref="A4">
    <cfRule type="duplicateValues" dxfId="40" priority="8"/>
  </conditionalFormatting>
  <conditionalFormatting sqref="A7:A8">
    <cfRule type="duplicateValues" dxfId="39" priority="11"/>
  </conditionalFormatting>
  <conditionalFormatting sqref="A9">
    <cfRule type="duplicateValues" dxfId="38" priority="5"/>
  </conditionalFormatting>
  <conditionalFormatting sqref="A10">
    <cfRule type="duplicateValues" dxfId="37" priority="3"/>
  </conditionalFormatting>
  <conditionalFormatting sqref="A4:B6">
    <cfRule type="duplicateValues" dxfId="36" priority="9"/>
  </conditionalFormatting>
  <conditionalFormatting sqref="B4:B6">
    <cfRule type="duplicateValues" dxfId="35" priority="10"/>
  </conditionalFormatting>
  <conditionalFormatting sqref="B9">
    <cfRule type="duplicateValues" dxfId="34" priority="6"/>
    <cfRule type="duplicateValues" dxfId="33" priority="7"/>
  </conditionalFormatting>
  <conditionalFormatting sqref="C9">
    <cfRule type="duplicateValues" dxfId="32" priority="4"/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F4A7A-FB01-47B1-A934-4910CBC518B5}">
  <dimension ref="A1:J38"/>
  <sheetViews>
    <sheetView zoomScale="85" zoomScaleNormal="85" workbookViewId="0">
      <pane xSplit="1" ySplit="3" topLeftCell="B28" activePane="bottomRight" state="frozen"/>
      <selection pane="topRight" activeCell="B1" sqref="B1"/>
      <selection pane="bottomLeft" activeCell="A4" sqref="A4"/>
      <selection pane="bottomRight" activeCell="I28" sqref="I28"/>
    </sheetView>
  </sheetViews>
  <sheetFormatPr defaultColWidth="8.77734375" defaultRowHeight="13.8"/>
  <cols>
    <col min="1" max="1" width="16.88671875" style="4" customWidth="1"/>
    <col min="2" max="2" width="43.5546875" style="4" customWidth="1"/>
    <col min="3" max="3" width="45.44140625" style="4" customWidth="1"/>
    <col min="4" max="5" width="15.21875" style="4" customWidth="1"/>
    <col min="6" max="6" width="15.21875" style="5" customWidth="1"/>
    <col min="7" max="7" width="18.21875" style="4" customWidth="1"/>
    <col min="8" max="8" width="33.88671875" style="4" customWidth="1"/>
    <col min="9" max="9" width="23.109375" style="6" customWidth="1"/>
    <col min="10" max="10" width="22.77734375" style="4" customWidth="1"/>
    <col min="11" max="16384" width="8.77734375" style="4"/>
  </cols>
  <sheetData>
    <row r="1" spans="1:10" ht="17.399999999999999">
      <c r="A1" s="1" t="s">
        <v>0</v>
      </c>
      <c r="B1" s="2"/>
      <c r="C1" s="3"/>
    </row>
    <row r="2" spans="1:10" ht="33" customHeight="1">
      <c r="A2" s="7" t="s">
        <v>1</v>
      </c>
      <c r="B2" s="8" t="s">
        <v>2</v>
      </c>
      <c r="I2" s="4"/>
    </row>
    <row r="3" spans="1:10" s="6" customFormat="1" ht="31.8" customHeight="1">
      <c r="A3" s="28" t="s">
        <v>283</v>
      </c>
      <c r="B3" s="28" t="s">
        <v>284</v>
      </c>
      <c r="C3" s="28" t="s">
        <v>285</v>
      </c>
      <c r="D3" s="28" t="s">
        <v>290</v>
      </c>
      <c r="E3" s="28" t="s">
        <v>286</v>
      </c>
      <c r="F3" s="29" t="s">
        <v>287</v>
      </c>
      <c r="G3" s="28" t="s">
        <v>288</v>
      </c>
      <c r="H3" s="28" t="s">
        <v>289</v>
      </c>
      <c r="I3" s="28" t="s">
        <v>291</v>
      </c>
    </row>
    <row r="4" spans="1:10" ht="23.4">
      <c r="A4" s="11">
        <v>66054</v>
      </c>
      <c r="B4" s="12" t="str">
        <f>VLOOKUP(A4,[1]DATA!$B:$C,2,0)</f>
        <v>นางสาวสุวนันท์ ธงชัย</v>
      </c>
      <c r="C4" s="12" t="s">
        <v>193</v>
      </c>
      <c r="D4" s="9" t="str">
        <f>VLOOKUP(A4,[2]DATA!$B:$E,4,0)</f>
        <v>Female</v>
      </c>
      <c r="E4" s="9" t="s">
        <v>4</v>
      </c>
      <c r="F4" s="10">
        <f>VLOOKUP(A4,[2]DATA!$B:$F,5,0)</f>
        <v>45132</v>
      </c>
      <c r="G4" s="9" t="s">
        <v>5</v>
      </c>
      <c r="H4" s="9" t="s">
        <v>194</v>
      </c>
      <c r="I4" s="9" t="s">
        <v>297</v>
      </c>
      <c r="J4" s="13"/>
    </row>
    <row r="5" spans="1:10" ht="23.4">
      <c r="A5" s="14">
        <v>66118</v>
      </c>
      <c r="B5" s="12" t="str">
        <f>VLOOKUP(A5,[1]DATA!$B:$C,2,0)</f>
        <v>นางสาวศุกร์กัญญา เนาวราช</v>
      </c>
      <c r="C5" s="12" t="s">
        <v>195</v>
      </c>
      <c r="D5" s="9" t="str">
        <f>VLOOKUP(A5,[2]DATA!$B:$E,4,0)</f>
        <v>Female</v>
      </c>
      <c r="E5" s="9" t="s">
        <v>4</v>
      </c>
      <c r="F5" s="10">
        <f>VLOOKUP(A5,[2]DATA!$B:$F,5,0)</f>
        <v>45243</v>
      </c>
      <c r="G5" s="9" t="s">
        <v>5</v>
      </c>
      <c r="H5" s="9" t="s">
        <v>196</v>
      </c>
      <c r="I5" s="9" t="s">
        <v>297</v>
      </c>
      <c r="J5" s="13"/>
    </row>
    <row r="6" spans="1:10" ht="23.4">
      <c r="A6" s="17">
        <v>67087</v>
      </c>
      <c r="B6" s="12" t="str">
        <f>VLOOKUP(A6,[1]DATA!$B:$C,2,0)</f>
        <v>นางสาวอรจิรา กมล</v>
      </c>
      <c r="C6" s="21" t="s">
        <v>197</v>
      </c>
      <c r="D6" s="9" t="str">
        <f>VLOOKUP(A6,[2]DATA!$B:$E,4,0)</f>
        <v>Female</v>
      </c>
      <c r="E6" s="9" t="s">
        <v>4</v>
      </c>
      <c r="F6" s="10">
        <f>VLOOKUP(A6,[2]DATA!$B:$F,5,0)</f>
        <v>45418</v>
      </c>
      <c r="G6" s="9" t="s">
        <v>5</v>
      </c>
      <c r="H6" s="9" t="s">
        <v>196</v>
      </c>
      <c r="I6" s="9" t="s">
        <v>297</v>
      </c>
      <c r="J6" s="13"/>
    </row>
    <row r="7" spans="1:10" ht="23.4">
      <c r="A7" s="17">
        <v>67093</v>
      </c>
      <c r="B7" s="12" t="str">
        <f>VLOOKUP(A7,[1]DATA!$B:$C,2,0)</f>
        <v>นางสาวกัลยา แซ่ม้า</v>
      </c>
      <c r="C7" s="21" t="s">
        <v>198</v>
      </c>
      <c r="D7" s="9" t="str">
        <f>VLOOKUP(A7,[2]DATA!$B:$E,4,0)</f>
        <v>Female</v>
      </c>
      <c r="E7" s="9" t="s">
        <v>4</v>
      </c>
      <c r="F7" s="10">
        <f>VLOOKUP(A7,[2]DATA!$B:$F,5,0)</f>
        <v>45426</v>
      </c>
      <c r="G7" s="9" t="s">
        <v>5</v>
      </c>
      <c r="H7" s="9" t="s">
        <v>196</v>
      </c>
      <c r="I7" s="9" t="s">
        <v>297</v>
      </c>
      <c r="J7" s="13"/>
    </row>
    <row r="8" spans="1:10" ht="23.4">
      <c r="A8" s="14">
        <v>67151</v>
      </c>
      <c r="B8" s="12" t="str">
        <f>VLOOKUP(A8,[1]DATA!$B:$C,2,0)</f>
        <v>นายเสกสรร อินสอน</v>
      </c>
      <c r="C8" s="26" t="s">
        <v>199</v>
      </c>
      <c r="D8" s="9" t="str">
        <f>VLOOKUP(A8,[2]DATA!$B:$E,4,0)</f>
        <v>Male</v>
      </c>
      <c r="E8" s="9" t="s">
        <v>4</v>
      </c>
      <c r="F8" s="10">
        <f>VLOOKUP(A8,[2]DATA!$B:$F,5,0)</f>
        <v>45556</v>
      </c>
      <c r="G8" s="9" t="s">
        <v>5</v>
      </c>
      <c r="H8" s="9" t="s">
        <v>196</v>
      </c>
      <c r="I8" s="9" t="s">
        <v>297</v>
      </c>
      <c r="J8" s="13"/>
    </row>
    <row r="9" spans="1:10" ht="23.4">
      <c r="A9" s="17">
        <v>68004</v>
      </c>
      <c r="B9" s="12" t="str">
        <f>VLOOKUP(A9,[1]DATA!$B:$C,2,0)</f>
        <v>นางสาวกนกวรรณ  ศักเหลา</v>
      </c>
      <c r="C9" s="21" t="s">
        <v>200</v>
      </c>
      <c r="D9" s="9" t="str">
        <f>VLOOKUP(A9,[2]DATA!$B:$E,4,0)</f>
        <v>Female</v>
      </c>
      <c r="E9" s="9" t="s">
        <v>4</v>
      </c>
      <c r="F9" s="10">
        <f>VLOOKUP(A9,[2]DATA!$B:$F,5,0)</f>
        <v>45670</v>
      </c>
      <c r="G9" s="9" t="s">
        <v>5</v>
      </c>
      <c r="H9" s="9" t="s">
        <v>201</v>
      </c>
      <c r="I9" s="9" t="s">
        <v>297</v>
      </c>
      <c r="J9" s="13"/>
    </row>
    <row r="10" spans="1:10" ht="23.4">
      <c r="A10" s="17">
        <v>68005</v>
      </c>
      <c r="B10" s="12" t="str">
        <f>VLOOKUP(A10,[1]DATA!$B:$C,2,0)</f>
        <v>นางสาวธิดา  แซ่กือ</v>
      </c>
      <c r="C10" s="21" t="s">
        <v>202</v>
      </c>
      <c r="D10" s="9" t="str">
        <f>VLOOKUP(A10,[2]DATA!$B:$E,4,0)</f>
        <v>Female</v>
      </c>
      <c r="E10" s="9" t="s">
        <v>4</v>
      </c>
      <c r="F10" s="10">
        <f>VLOOKUP(A10,[2]DATA!$B:$F,5,0)</f>
        <v>45670</v>
      </c>
      <c r="G10" s="9" t="s">
        <v>5</v>
      </c>
      <c r="H10" s="9" t="s">
        <v>196</v>
      </c>
      <c r="I10" s="9" t="s">
        <v>297</v>
      </c>
      <c r="J10" s="13"/>
    </row>
    <row r="11" spans="1:10" ht="23.4">
      <c r="A11" s="17">
        <v>69042</v>
      </c>
      <c r="B11" s="12" t="str">
        <f>VLOOKUP(A11,[1]DATA!$B:$C,2,0)</f>
        <v>นางสาวมลิวัลย์ มาโสภา</v>
      </c>
      <c r="C11" s="16" t="s">
        <v>203</v>
      </c>
      <c r="D11" s="9" t="str">
        <f>VLOOKUP(A11,[2]DATA!$B:$E,4,0)</f>
        <v>Female</v>
      </c>
      <c r="E11" s="9" t="s">
        <v>4</v>
      </c>
      <c r="F11" s="10">
        <f>VLOOKUP(A11,[2]DATA!$B:$F,5,0)</f>
        <v>46102</v>
      </c>
      <c r="G11" s="9" t="s">
        <v>5</v>
      </c>
      <c r="H11" s="9" t="s">
        <v>196</v>
      </c>
      <c r="I11" s="9" t="s">
        <v>297</v>
      </c>
      <c r="J11" s="13"/>
    </row>
    <row r="12" spans="1:10" ht="23.4">
      <c r="A12" s="17">
        <v>69073</v>
      </c>
      <c r="B12" s="13" t="str">
        <f>VLOOKUP(A12,[3]DATA!$B$2:$Y$163,2,0)</f>
        <v>นางสาวนรินทรา  บุญศิริ</v>
      </c>
      <c r="C12" s="13" t="str">
        <f>VLOOKUP(A12,[4]DATA!$B$2:$Y$174,3,0)</f>
        <v>MS.NARINTRA BOONSIRI</v>
      </c>
      <c r="D12" s="9" t="str">
        <f>VLOOKUP(A12,[4]DATA!$B$2:$Y$174,4,0)</f>
        <v>Female</v>
      </c>
      <c r="E12" s="9" t="s">
        <v>4</v>
      </c>
      <c r="F12" s="10">
        <f>VLOOKUP(A12,[4]DATA!$B$2:$Y$174,5,0)</f>
        <v>46163</v>
      </c>
      <c r="G12" s="9" t="s">
        <v>5</v>
      </c>
      <c r="H12" s="9" t="s">
        <v>196</v>
      </c>
      <c r="I12" s="9" t="s">
        <v>297</v>
      </c>
      <c r="J12" s="13"/>
    </row>
    <row r="13" spans="1:10" ht="23.4">
      <c r="A13" s="17">
        <v>69077</v>
      </c>
      <c r="B13" s="13" t="str">
        <f>VLOOKUP(A13,[3]DATA!$B$2:$Y$163,2,0)</f>
        <v>นางสาวมัชฌิมา  รุ่งระวี</v>
      </c>
      <c r="C13" s="13" t="str">
        <f>VLOOKUP(A13,[4]DATA!$B$2:$Y$174,3,0)</f>
        <v>MS.MATCHIMA RUNGRAWEE</v>
      </c>
      <c r="D13" s="9" t="str">
        <f>VLOOKUP(A13,[4]DATA!$B$2:$Y$174,4,0)</f>
        <v>Female</v>
      </c>
      <c r="E13" s="9" t="s">
        <v>4</v>
      </c>
      <c r="F13" s="10">
        <f>VLOOKUP(A13,[4]DATA!$B$2:$Y$174,5,0)</f>
        <v>46163</v>
      </c>
      <c r="G13" s="9" t="s">
        <v>5</v>
      </c>
      <c r="H13" s="9" t="s">
        <v>196</v>
      </c>
      <c r="I13" s="9" t="s">
        <v>297</v>
      </c>
      <c r="J13" s="13"/>
    </row>
    <row r="14" spans="1:10" ht="23.4">
      <c r="A14" s="17">
        <v>69100</v>
      </c>
      <c r="B14" s="13" t="s">
        <v>204</v>
      </c>
      <c r="C14" s="13" t="s">
        <v>205</v>
      </c>
      <c r="D14" s="9" t="s">
        <v>75</v>
      </c>
      <c r="E14" s="9" t="s">
        <v>4</v>
      </c>
      <c r="F14" s="10">
        <v>46194</v>
      </c>
      <c r="G14" s="9" t="s">
        <v>5</v>
      </c>
      <c r="H14" s="9" t="s">
        <v>196</v>
      </c>
      <c r="I14" s="9" t="s">
        <v>297</v>
      </c>
      <c r="J14" s="13"/>
    </row>
    <row r="15" spans="1:10" ht="23.4">
      <c r="A15" s="17">
        <v>69115</v>
      </c>
      <c r="B15" s="13" t="s">
        <v>206</v>
      </c>
      <c r="C15" s="13" t="s">
        <v>207</v>
      </c>
      <c r="D15" s="9" t="s">
        <v>75</v>
      </c>
      <c r="E15" s="9" t="s">
        <v>4</v>
      </c>
      <c r="F15" s="10">
        <v>46224</v>
      </c>
      <c r="G15" s="9" t="s">
        <v>5</v>
      </c>
      <c r="H15" s="9" t="s">
        <v>196</v>
      </c>
      <c r="I15" s="9" t="s">
        <v>297</v>
      </c>
      <c r="J15" s="13"/>
    </row>
    <row r="16" spans="1:10" ht="23.4">
      <c r="A16" s="17">
        <v>69116</v>
      </c>
      <c r="B16" s="13" t="s">
        <v>208</v>
      </c>
      <c r="C16" s="13" t="s">
        <v>209</v>
      </c>
      <c r="D16" s="9" t="s">
        <v>75</v>
      </c>
      <c r="E16" s="9" t="s">
        <v>4</v>
      </c>
      <c r="F16" s="10">
        <v>46224</v>
      </c>
      <c r="G16" s="9" t="s">
        <v>5</v>
      </c>
      <c r="H16" s="9" t="s">
        <v>196</v>
      </c>
      <c r="I16" s="9" t="s">
        <v>297</v>
      </c>
      <c r="J16" s="13"/>
    </row>
    <row r="17" spans="1:10" ht="23.4">
      <c r="A17" s="17">
        <v>69117</v>
      </c>
      <c r="B17" s="13" t="s">
        <v>210</v>
      </c>
      <c r="C17" s="13" t="s">
        <v>211</v>
      </c>
      <c r="D17" s="9" t="s">
        <v>75</v>
      </c>
      <c r="E17" s="9" t="s">
        <v>4</v>
      </c>
      <c r="F17" s="10">
        <v>46224</v>
      </c>
      <c r="G17" s="9" t="s">
        <v>5</v>
      </c>
      <c r="H17" s="9" t="s">
        <v>196</v>
      </c>
      <c r="I17" s="9" t="s">
        <v>297</v>
      </c>
      <c r="J17" s="13"/>
    </row>
    <row r="18" spans="1:10" ht="23.4">
      <c r="A18" s="17">
        <v>69127</v>
      </c>
      <c r="B18" s="13" t="s">
        <v>212</v>
      </c>
      <c r="C18" s="13" t="s">
        <v>213</v>
      </c>
      <c r="D18" s="9" t="s">
        <v>12</v>
      </c>
      <c r="E18" s="9" t="s">
        <v>4</v>
      </c>
      <c r="F18" s="10">
        <v>46224</v>
      </c>
      <c r="G18" s="9" t="s">
        <v>5</v>
      </c>
      <c r="H18" s="9" t="s">
        <v>196</v>
      </c>
      <c r="I18" s="9" t="s">
        <v>297</v>
      </c>
      <c r="J18" s="13"/>
    </row>
    <row r="19" spans="1:10" ht="23.4">
      <c r="A19" s="17" t="s">
        <v>214</v>
      </c>
      <c r="B19" s="13" t="s">
        <v>215</v>
      </c>
      <c r="C19" s="13" t="s">
        <v>216</v>
      </c>
      <c r="D19" s="9" t="s">
        <v>12</v>
      </c>
      <c r="E19" s="9" t="s">
        <v>4</v>
      </c>
      <c r="F19" s="18" t="s">
        <v>217</v>
      </c>
      <c r="G19" s="9" t="s">
        <v>29</v>
      </c>
      <c r="H19" s="9" t="s">
        <v>196</v>
      </c>
      <c r="I19" s="9" t="s">
        <v>297</v>
      </c>
      <c r="J19" s="13"/>
    </row>
    <row r="20" spans="1:10" ht="23.4">
      <c r="A20" s="17" t="s">
        <v>218</v>
      </c>
      <c r="B20" s="13" t="s">
        <v>219</v>
      </c>
      <c r="C20" s="13" t="s">
        <v>220</v>
      </c>
      <c r="D20" s="9" t="s">
        <v>75</v>
      </c>
      <c r="E20" s="9" t="s">
        <v>4</v>
      </c>
      <c r="F20" s="18" t="s">
        <v>217</v>
      </c>
      <c r="G20" s="9" t="s">
        <v>29</v>
      </c>
      <c r="H20" s="9" t="s">
        <v>196</v>
      </c>
      <c r="I20" s="9" t="s">
        <v>297</v>
      </c>
      <c r="J20" s="13"/>
    </row>
    <row r="21" spans="1:10" ht="23.4">
      <c r="A21" s="17" t="s">
        <v>221</v>
      </c>
      <c r="B21" s="13" t="s">
        <v>222</v>
      </c>
      <c r="C21" s="13" t="s">
        <v>223</v>
      </c>
      <c r="D21" s="9" t="s">
        <v>75</v>
      </c>
      <c r="E21" s="9" t="s">
        <v>4</v>
      </c>
      <c r="F21" s="27" t="s">
        <v>224</v>
      </c>
      <c r="G21" s="9" t="s">
        <v>29</v>
      </c>
      <c r="H21" s="9" t="s">
        <v>196</v>
      </c>
      <c r="I21" s="9" t="s">
        <v>297</v>
      </c>
      <c r="J21" s="13"/>
    </row>
    <row r="22" spans="1:10" ht="23.4">
      <c r="A22" s="17" t="s">
        <v>225</v>
      </c>
      <c r="B22" s="13" t="s">
        <v>226</v>
      </c>
      <c r="C22" s="13" t="s">
        <v>227</v>
      </c>
      <c r="D22" s="9" t="s">
        <v>12</v>
      </c>
      <c r="E22" s="9" t="s">
        <v>4</v>
      </c>
      <c r="F22" s="18" t="s">
        <v>157</v>
      </c>
      <c r="G22" s="9" t="s">
        <v>29</v>
      </c>
      <c r="H22" s="9" t="s">
        <v>196</v>
      </c>
      <c r="I22" s="9" t="s">
        <v>297</v>
      </c>
      <c r="J22" s="13"/>
    </row>
    <row r="23" spans="1:10" ht="23.4">
      <c r="A23" s="17" t="s">
        <v>228</v>
      </c>
      <c r="B23" s="13" t="s">
        <v>229</v>
      </c>
      <c r="C23" s="13" t="s">
        <v>230</v>
      </c>
      <c r="D23" s="9" t="s">
        <v>75</v>
      </c>
      <c r="E23" s="9" t="s">
        <v>4</v>
      </c>
      <c r="F23" s="18" t="s">
        <v>231</v>
      </c>
      <c r="G23" s="9" t="s">
        <v>29</v>
      </c>
      <c r="H23" s="9" t="s">
        <v>196</v>
      </c>
      <c r="I23" s="9" t="s">
        <v>297</v>
      </c>
      <c r="J23" s="13"/>
    </row>
    <row r="24" spans="1:10" ht="23.4">
      <c r="A24" s="17" t="s">
        <v>232</v>
      </c>
      <c r="B24" s="13" t="s">
        <v>233</v>
      </c>
      <c r="C24" s="13" t="s">
        <v>234</v>
      </c>
      <c r="D24" s="9" t="s">
        <v>12</v>
      </c>
      <c r="E24" s="9" t="s">
        <v>4</v>
      </c>
      <c r="F24" s="18" t="s">
        <v>164</v>
      </c>
      <c r="G24" s="9" t="s">
        <v>29</v>
      </c>
      <c r="H24" s="9" t="s">
        <v>196</v>
      </c>
      <c r="I24" s="9" t="s">
        <v>297</v>
      </c>
      <c r="J24" s="13"/>
    </row>
    <row r="25" spans="1:10" ht="23.4">
      <c r="A25" s="17" t="s">
        <v>235</v>
      </c>
      <c r="B25" s="13" t="s">
        <v>236</v>
      </c>
      <c r="C25" s="13" t="s">
        <v>237</v>
      </c>
      <c r="D25" s="9" t="s">
        <v>75</v>
      </c>
      <c r="E25" s="9" t="s">
        <v>4</v>
      </c>
      <c r="F25" s="18" t="s">
        <v>238</v>
      </c>
      <c r="G25" s="9" t="s">
        <v>29</v>
      </c>
      <c r="H25" s="9" t="s">
        <v>196</v>
      </c>
      <c r="I25" s="9" t="s">
        <v>297</v>
      </c>
      <c r="J25" s="13"/>
    </row>
    <row r="26" spans="1:10" ht="23.4">
      <c r="A26" s="17" t="s">
        <v>239</v>
      </c>
      <c r="B26" s="13" t="s">
        <v>240</v>
      </c>
      <c r="C26" s="13" t="s">
        <v>241</v>
      </c>
      <c r="D26" s="9" t="s">
        <v>75</v>
      </c>
      <c r="E26" s="9" t="s">
        <v>4</v>
      </c>
      <c r="F26" s="18" t="s">
        <v>168</v>
      </c>
      <c r="G26" s="9" t="s">
        <v>29</v>
      </c>
      <c r="H26" s="9" t="s">
        <v>196</v>
      </c>
      <c r="I26" s="9" t="s">
        <v>297</v>
      </c>
      <c r="J26" s="13"/>
    </row>
    <row r="27" spans="1:10" ht="23.4">
      <c r="A27" s="17" t="s">
        <v>242</v>
      </c>
      <c r="B27" s="13" t="s">
        <v>243</v>
      </c>
      <c r="C27" s="13" t="s">
        <v>244</v>
      </c>
      <c r="D27" s="9" t="s">
        <v>75</v>
      </c>
      <c r="E27" s="9" t="s">
        <v>4</v>
      </c>
      <c r="F27" s="18" t="s">
        <v>245</v>
      </c>
      <c r="G27" s="9" t="s">
        <v>29</v>
      </c>
      <c r="H27" s="9" t="s">
        <v>196</v>
      </c>
      <c r="I27" s="9" t="s">
        <v>297</v>
      </c>
      <c r="J27" s="13"/>
    </row>
    <row r="28" spans="1:10" ht="23.4">
      <c r="A28" s="17" t="s">
        <v>246</v>
      </c>
      <c r="B28" s="13" t="s">
        <v>247</v>
      </c>
      <c r="C28" s="13" t="s">
        <v>248</v>
      </c>
      <c r="D28" s="9" t="s">
        <v>75</v>
      </c>
      <c r="E28" s="9" t="s">
        <v>4</v>
      </c>
      <c r="F28" s="18" t="s">
        <v>249</v>
      </c>
      <c r="G28" s="9" t="s">
        <v>29</v>
      </c>
      <c r="H28" s="9" t="s">
        <v>196</v>
      </c>
      <c r="I28" s="9" t="s">
        <v>297</v>
      </c>
      <c r="J28" s="13"/>
    </row>
    <row r="29" spans="1:10" ht="23.4">
      <c r="A29" s="17" t="s">
        <v>250</v>
      </c>
      <c r="B29" s="13" t="s">
        <v>251</v>
      </c>
      <c r="C29" s="13" t="s">
        <v>252</v>
      </c>
      <c r="D29" s="9" t="s">
        <v>75</v>
      </c>
      <c r="E29" s="9" t="s">
        <v>4</v>
      </c>
      <c r="F29" s="18" t="s">
        <v>253</v>
      </c>
      <c r="G29" s="9" t="s">
        <v>29</v>
      </c>
      <c r="H29" s="9" t="s">
        <v>196</v>
      </c>
      <c r="I29" s="9" t="s">
        <v>297</v>
      </c>
      <c r="J29" s="13"/>
    </row>
    <row r="30" spans="1:10" ht="23.4">
      <c r="A30" s="17" t="s">
        <v>254</v>
      </c>
      <c r="B30" s="13" t="s">
        <v>255</v>
      </c>
      <c r="C30" s="13" t="s">
        <v>256</v>
      </c>
      <c r="D30" s="9" t="s">
        <v>75</v>
      </c>
      <c r="E30" s="9" t="s">
        <v>4</v>
      </c>
      <c r="F30" s="18" t="s">
        <v>172</v>
      </c>
      <c r="G30" s="9" t="s">
        <v>29</v>
      </c>
      <c r="H30" s="9" t="s">
        <v>196</v>
      </c>
      <c r="I30" s="9" t="s">
        <v>297</v>
      </c>
      <c r="J30" s="13"/>
    </row>
    <row r="31" spans="1:10" ht="23.4">
      <c r="A31" s="17" t="s">
        <v>257</v>
      </c>
      <c r="B31" s="13" t="s">
        <v>258</v>
      </c>
      <c r="C31" s="13" t="s">
        <v>259</v>
      </c>
      <c r="D31" s="9" t="s">
        <v>12</v>
      </c>
      <c r="E31" s="9" t="s">
        <v>4</v>
      </c>
      <c r="F31" s="18" t="s">
        <v>172</v>
      </c>
      <c r="G31" s="9" t="s">
        <v>29</v>
      </c>
      <c r="H31" s="9" t="s">
        <v>196</v>
      </c>
      <c r="I31" s="9" t="s">
        <v>297</v>
      </c>
      <c r="J31" s="13"/>
    </row>
    <row r="32" spans="1:10" ht="23.4">
      <c r="A32" s="17" t="s">
        <v>260</v>
      </c>
      <c r="B32" s="13" t="s">
        <v>261</v>
      </c>
      <c r="C32" s="13" t="s">
        <v>262</v>
      </c>
      <c r="D32" s="9" t="s">
        <v>75</v>
      </c>
      <c r="E32" s="9" t="s">
        <v>4</v>
      </c>
      <c r="F32" s="18" t="s">
        <v>28</v>
      </c>
      <c r="G32" s="9" t="s">
        <v>29</v>
      </c>
      <c r="H32" s="9" t="s">
        <v>196</v>
      </c>
      <c r="I32" s="9" t="s">
        <v>297</v>
      </c>
      <c r="J32" s="13"/>
    </row>
    <row r="33" spans="1:10" ht="23.4">
      <c r="A33" s="17" t="s">
        <v>263</v>
      </c>
      <c r="B33" s="13" t="s">
        <v>264</v>
      </c>
      <c r="C33" s="13" t="s">
        <v>265</v>
      </c>
      <c r="D33" s="9" t="s">
        <v>75</v>
      </c>
      <c r="E33" s="9" t="s">
        <v>4</v>
      </c>
      <c r="F33" s="18" t="s">
        <v>28</v>
      </c>
      <c r="G33" s="9" t="s">
        <v>29</v>
      </c>
      <c r="H33" s="9" t="s">
        <v>196</v>
      </c>
      <c r="I33" s="9" t="s">
        <v>297</v>
      </c>
      <c r="J33" s="13"/>
    </row>
    <row r="34" spans="1:10" ht="23.4">
      <c r="A34" s="17" t="s">
        <v>266</v>
      </c>
      <c r="B34" s="13" t="s">
        <v>267</v>
      </c>
      <c r="C34" s="13" t="s">
        <v>268</v>
      </c>
      <c r="D34" s="9" t="s">
        <v>75</v>
      </c>
      <c r="E34" s="9" t="s">
        <v>4</v>
      </c>
      <c r="F34" s="18" t="s">
        <v>33</v>
      </c>
      <c r="G34" s="9" t="s">
        <v>29</v>
      </c>
      <c r="H34" s="9" t="s">
        <v>196</v>
      </c>
      <c r="I34" s="9" t="s">
        <v>297</v>
      </c>
      <c r="J34" s="13"/>
    </row>
    <row r="35" spans="1:10" ht="23.4">
      <c r="A35" s="17" t="s">
        <v>269</v>
      </c>
      <c r="B35" s="13" t="s">
        <v>270</v>
      </c>
      <c r="C35" s="13" t="s">
        <v>271</v>
      </c>
      <c r="D35" s="9" t="s">
        <v>75</v>
      </c>
      <c r="E35" s="9" t="s">
        <v>4</v>
      </c>
      <c r="F35" s="18" t="s">
        <v>59</v>
      </c>
      <c r="G35" s="9" t="s">
        <v>29</v>
      </c>
      <c r="H35" s="9" t="s">
        <v>196</v>
      </c>
      <c r="I35" s="9" t="s">
        <v>297</v>
      </c>
      <c r="J35" s="13"/>
    </row>
    <row r="36" spans="1:10" ht="23.4">
      <c r="A36" s="17" t="s">
        <v>272</v>
      </c>
      <c r="B36" s="13" t="s">
        <v>273</v>
      </c>
      <c r="C36" s="13" t="s">
        <v>274</v>
      </c>
      <c r="D36" s="9" t="s">
        <v>75</v>
      </c>
      <c r="E36" s="9" t="s">
        <v>4</v>
      </c>
      <c r="F36" s="18" t="s">
        <v>66</v>
      </c>
      <c r="G36" s="9" t="s">
        <v>29</v>
      </c>
      <c r="H36" s="9" t="s">
        <v>196</v>
      </c>
      <c r="I36" s="9" t="s">
        <v>297</v>
      </c>
      <c r="J36" s="13"/>
    </row>
    <row r="37" spans="1:10" ht="23.4">
      <c r="A37" s="17" t="s">
        <v>275</v>
      </c>
      <c r="B37" s="13" t="s">
        <v>276</v>
      </c>
      <c r="C37" s="13" t="s">
        <v>277</v>
      </c>
      <c r="D37" s="9" t="s">
        <v>75</v>
      </c>
      <c r="E37" s="9" t="s">
        <v>4</v>
      </c>
      <c r="F37" s="18" t="s">
        <v>278</v>
      </c>
      <c r="G37" s="9" t="s">
        <v>29</v>
      </c>
      <c r="H37" s="9" t="s">
        <v>196</v>
      </c>
      <c r="I37" s="9" t="s">
        <v>297</v>
      </c>
      <c r="J37" s="13"/>
    </row>
    <row r="38" spans="1:10" ht="23.4">
      <c r="A38" s="17" t="s">
        <v>279</v>
      </c>
      <c r="B38" s="13" t="s">
        <v>280</v>
      </c>
      <c r="C38" s="13" t="s">
        <v>280</v>
      </c>
      <c r="D38" s="9" t="s">
        <v>12</v>
      </c>
      <c r="E38" s="9" t="s">
        <v>81</v>
      </c>
      <c r="F38" s="22" t="s">
        <v>82</v>
      </c>
      <c r="G38" s="9" t="s">
        <v>29</v>
      </c>
      <c r="H38" s="9" t="s">
        <v>196</v>
      </c>
      <c r="I38" s="9" t="s">
        <v>297</v>
      </c>
      <c r="J38" s="13"/>
    </row>
  </sheetData>
  <autoFilter ref="A3:J38" xr:uid="{00000000-0009-0000-0000-000002000000}"/>
  <conditionalFormatting sqref="C11">
    <cfRule type="duplicateValues" dxfId="45" priority="1"/>
  </conditionalFormatting>
  <conditionalFormatting sqref="A12:A38">
    <cfRule type="duplicateValues" dxfId="44" priority="14"/>
  </conditionalFormatting>
  <conditionalFormatting sqref="A11">
    <cfRule type="duplicateValues" dxfId="43" priority="18"/>
  </conditionalFormatting>
  <conditionalFormatting sqref="A4:A10 B4:B11">
    <cfRule type="duplicateValues" dxfId="42" priority="49"/>
  </conditionalFormatting>
  <conditionalFormatting sqref="B4:B11">
    <cfRule type="duplicateValues" dxfId="41" priority="51"/>
  </conditionalFormatting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05E53-48BC-4D1C-BE4A-270DD5B008D7}">
  <dimension ref="A1:I20"/>
  <sheetViews>
    <sheetView zoomScale="60" zoomScaleNormal="60" workbookViewId="0">
      <pane xSplit="3" ySplit="3" topLeftCell="D4" activePane="bottomRight" state="frozen"/>
      <selection pane="topRight"/>
      <selection pane="bottomLeft"/>
      <selection pane="bottomRight" activeCell="I4" sqref="I4:I19"/>
    </sheetView>
  </sheetViews>
  <sheetFormatPr defaultColWidth="8.77734375" defaultRowHeight="13.8"/>
  <cols>
    <col min="1" max="1" width="16.88671875" style="4" customWidth="1"/>
    <col min="2" max="2" width="43.5546875" style="4" customWidth="1"/>
    <col min="3" max="3" width="45.44140625" style="4" customWidth="1"/>
    <col min="4" max="5" width="15.21875" style="4" customWidth="1"/>
    <col min="6" max="6" width="15.21875" style="5" customWidth="1"/>
    <col min="7" max="7" width="18.21875" style="4" customWidth="1"/>
    <col min="8" max="8" width="33.88671875" style="4" customWidth="1"/>
    <col min="9" max="9" width="23.109375" style="6" customWidth="1"/>
    <col min="10" max="16384" width="8.77734375" style="4"/>
  </cols>
  <sheetData>
    <row r="1" spans="1:9" ht="17.399999999999999">
      <c r="A1" s="1" t="s">
        <v>0</v>
      </c>
      <c r="B1" s="2"/>
      <c r="C1" s="3"/>
    </row>
    <row r="2" spans="1:9" ht="33" customHeight="1">
      <c r="A2" s="7" t="s">
        <v>1</v>
      </c>
      <c r="B2" s="8" t="s">
        <v>2</v>
      </c>
      <c r="I2" s="4"/>
    </row>
    <row r="3" spans="1:9" s="6" customFormat="1" ht="31.8" customHeight="1">
      <c r="A3" s="28" t="s">
        <v>283</v>
      </c>
      <c r="B3" s="28" t="s">
        <v>284</v>
      </c>
      <c r="C3" s="28" t="s">
        <v>285</v>
      </c>
      <c r="D3" s="28" t="s">
        <v>290</v>
      </c>
      <c r="E3" s="28" t="s">
        <v>286</v>
      </c>
      <c r="F3" s="29" t="s">
        <v>287</v>
      </c>
      <c r="G3" s="28" t="s">
        <v>288</v>
      </c>
      <c r="H3" s="28" t="s">
        <v>289</v>
      </c>
      <c r="I3" s="28" t="s">
        <v>291</v>
      </c>
    </row>
    <row r="4" spans="1:9" ht="23.4">
      <c r="A4" s="17">
        <v>66119</v>
      </c>
      <c r="B4" s="12" t="str">
        <f>VLOOKUP(A4,[1]DATA!$B:$C,2,0)</f>
        <v>นายจตุพงษ์ วงษาสืบ</v>
      </c>
      <c r="C4" s="12" t="s">
        <v>141</v>
      </c>
      <c r="D4" s="9" t="str">
        <f>VLOOKUP(A4,[2]DATA!$B:$E,4,0)</f>
        <v>Male</v>
      </c>
      <c r="E4" s="9" t="s">
        <v>4</v>
      </c>
      <c r="F4" s="10">
        <f>VLOOKUP(A4,[2]DATA!$B:$F,5,0)</f>
        <v>45246</v>
      </c>
      <c r="G4" s="9" t="s">
        <v>5</v>
      </c>
      <c r="H4" s="9" t="s">
        <v>142</v>
      </c>
      <c r="I4" s="9" t="s">
        <v>298</v>
      </c>
    </row>
    <row r="5" spans="1:9" ht="23.4">
      <c r="A5" s="14">
        <v>67046</v>
      </c>
      <c r="B5" s="12" t="str">
        <f>VLOOKUP(A5,[1]DATA!$B:$C,2,0)</f>
        <v>นายเกียรติศักดิ์ จุปะมะโน</v>
      </c>
      <c r="C5" s="12" t="s">
        <v>143</v>
      </c>
      <c r="D5" s="9" t="str">
        <f>VLOOKUP(A5,[2]DATA!$B:$E,4,0)</f>
        <v>Male</v>
      </c>
      <c r="E5" s="9" t="s">
        <v>4</v>
      </c>
      <c r="F5" s="10">
        <f>VLOOKUP(A5,[2]DATA!$B:$F,5,0)</f>
        <v>45329</v>
      </c>
      <c r="G5" s="9" t="s">
        <v>5</v>
      </c>
      <c r="H5" s="9" t="s">
        <v>142</v>
      </c>
      <c r="I5" s="9" t="s">
        <v>298</v>
      </c>
    </row>
    <row r="6" spans="1:9" ht="23.4">
      <c r="A6" s="17">
        <v>68034</v>
      </c>
      <c r="B6" s="12" t="str">
        <f>VLOOKUP(A6,[1]DATA!$B:$C,2,0)</f>
        <v>นายวีระกร  อุดทังไข</v>
      </c>
      <c r="C6" s="20" t="s">
        <v>144</v>
      </c>
      <c r="D6" s="9" t="str">
        <f>VLOOKUP(A6,[2]DATA!$B:$E,4,0)</f>
        <v>Male</v>
      </c>
      <c r="E6" s="9" t="s">
        <v>4</v>
      </c>
      <c r="F6" s="10">
        <f>VLOOKUP(A6,[2]DATA!$B:$F,5,0)</f>
        <v>45796</v>
      </c>
      <c r="G6" s="9" t="s">
        <v>5</v>
      </c>
      <c r="H6" s="9" t="s">
        <v>145</v>
      </c>
      <c r="I6" s="9" t="s">
        <v>298</v>
      </c>
    </row>
    <row r="7" spans="1:9" ht="23.4">
      <c r="A7" s="14">
        <v>68049</v>
      </c>
      <c r="B7" s="12" t="str">
        <f>VLOOKUP(A7,[1]DATA!$B:$C,2,0)</f>
        <v>นายนราธิป บุญภูมิ</v>
      </c>
      <c r="C7" s="12" t="s">
        <v>146</v>
      </c>
      <c r="D7" s="9" t="str">
        <f>VLOOKUP(A7,[2]DATA!$B:$E,4,0)</f>
        <v>Male</v>
      </c>
      <c r="E7" s="9" t="s">
        <v>4</v>
      </c>
      <c r="F7" s="10">
        <f>VLOOKUP(A7,[2]DATA!$B:$F,5,0)</f>
        <v>45890</v>
      </c>
      <c r="G7" s="9" t="s">
        <v>5</v>
      </c>
      <c r="H7" s="9" t="s">
        <v>142</v>
      </c>
      <c r="I7" s="9" t="s">
        <v>298</v>
      </c>
    </row>
    <row r="8" spans="1:9" ht="23.4">
      <c r="A8" s="17">
        <v>69039</v>
      </c>
      <c r="B8" s="12" t="str">
        <f>VLOOKUP(A8,[1]DATA!$B:$C,2,0)</f>
        <v>MR.JIANG,AIDONG</v>
      </c>
      <c r="C8" s="16" t="s">
        <v>147</v>
      </c>
      <c r="D8" s="9" t="str">
        <f>VLOOKUP(A8,[2]DATA!$B:$E,4,0)</f>
        <v>Male</v>
      </c>
      <c r="E8" s="9" t="s">
        <v>148</v>
      </c>
      <c r="F8" s="10">
        <f>VLOOKUP(A8,[2]DATA!$B:$F,5,0)</f>
        <v>46087</v>
      </c>
      <c r="G8" s="9" t="s">
        <v>5</v>
      </c>
      <c r="H8" s="9" t="s">
        <v>149</v>
      </c>
      <c r="I8" s="9" t="s">
        <v>298</v>
      </c>
    </row>
    <row r="9" spans="1:9" ht="23.4">
      <c r="A9" s="17">
        <v>69087</v>
      </c>
      <c r="B9" s="13" t="str">
        <f>VLOOKUP(A9,[3]DATA!$B$2:$Y$163,2,0)</f>
        <v>นายวันชนะ คีรถรัมย์</v>
      </c>
      <c r="C9" s="13" t="str">
        <f>VLOOKUP(A9,[4]DATA!$B$2:$Y$174,3,0)</f>
        <v>MR.WANCHANA DEERODRAM</v>
      </c>
      <c r="D9" s="9" t="str">
        <f>VLOOKUP(A9,[4]DATA!$B$2:$Y$174,4,0)</f>
        <v>Male</v>
      </c>
      <c r="E9" s="9" t="s">
        <v>4</v>
      </c>
      <c r="F9" s="10">
        <f>VLOOKUP(A9,[4]DATA!$B$2:$Y$174,5,0)</f>
        <v>46163</v>
      </c>
      <c r="G9" s="9" t="s">
        <v>5</v>
      </c>
      <c r="H9" s="9" t="s">
        <v>142</v>
      </c>
      <c r="I9" s="9" t="s">
        <v>298</v>
      </c>
    </row>
    <row r="10" spans="1:9" ht="23.4">
      <c r="A10" s="17">
        <v>69088</v>
      </c>
      <c r="B10" s="13" t="str">
        <f>VLOOKUP(A10,[3]DATA!$B$2:$Y$163,2,0)</f>
        <v>นายอภิสิทธิ์ เกยสุวรรณ์</v>
      </c>
      <c r="C10" s="13" t="str">
        <f>VLOOKUP(A10,[4]DATA!$B$2:$Y$174,3,0)</f>
        <v>MR.APHISIT KOEISUWAN</v>
      </c>
      <c r="D10" s="9" t="str">
        <f>VLOOKUP(A10,[4]DATA!$B$2:$Y$174,4,0)</f>
        <v>Male</v>
      </c>
      <c r="E10" s="9" t="s">
        <v>4</v>
      </c>
      <c r="F10" s="10">
        <f>VLOOKUP(A10,[4]DATA!$B$2:$Y$174,5,0)</f>
        <v>46163</v>
      </c>
      <c r="G10" s="9" t="s">
        <v>5</v>
      </c>
      <c r="H10" s="9" t="s">
        <v>142</v>
      </c>
      <c r="I10" s="9" t="s">
        <v>298</v>
      </c>
    </row>
    <row r="11" spans="1:9" ht="23.4">
      <c r="A11" s="17">
        <v>69122</v>
      </c>
      <c r="B11" s="13" t="s">
        <v>150</v>
      </c>
      <c r="C11" s="13" t="s">
        <v>151</v>
      </c>
      <c r="D11" s="9" t="s">
        <v>12</v>
      </c>
      <c r="E11" s="9" t="s">
        <v>4</v>
      </c>
      <c r="F11" s="10">
        <v>46224</v>
      </c>
      <c r="G11" s="9" t="s">
        <v>5</v>
      </c>
      <c r="H11" s="9" t="s">
        <v>142</v>
      </c>
      <c r="I11" s="9" t="s">
        <v>298</v>
      </c>
    </row>
    <row r="12" spans="1:9" ht="23.4">
      <c r="A12" s="17">
        <v>69123</v>
      </c>
      <c r="B12" s="13" t="s">
        <v>152</v>
      </c>
      <c r="C12" s="13" t="s">
        <v>153</v>
      </c>
      <c r="D12" s="9" t="s">
        <v>12</v>
      </c>
      <c r="E12" s="9" t="s">
        <v>4</v>
      </c>
      <c r="F12" s="10">
        <v>46224</v>
      </c>
      <c r="G12" s="9" t="s">
        <v>5</v>
      </c>
      <c r="H12" s="9" t="s">
        <v>142</v>
      </c>
      <c r="I12" s="9" t="s">
        <v>298</v>
      </c>
    </row>
    <row r="13" spans="1:9" ht="23.4">
      <c r="A13" s="17" t="s">
        <v>154</v>
      </c>
      <c r="B13" s="13" t="s">
        <v>155</v>
      </c>
      <c r="C13" s="13" t="s">
        <v>156</v>
      </c>
      <c r="D13" s="9" t="s">
        <v>12</v>
      </c>
      <c r="E13" s="9" t="s">
        <v>4</v>
      </c>
      <c r="F13" s="18" t="s">
        <v>157</v>
      </c>
      <c r="G13" s="9" t="s">
        <v>29</v>
      </c>
      <c r="H13" s="9" t="s">
        <v>142</v>
      </c>
      <c r="I13" s="9" t="s">
        <v>298</v>
      </c>
    </row>
    <row r="14" spans="1:9" ht="23.4">
      <c r="A14" s="17" t="s">
        <v>158</v>
      </c>
      <c r="B14" s="13" t="s">
        <v>159</v>
      </c>
      <c r="C14" s="13" t="s">
        <v>160</v>
      </c>
      <c r="D14" s="9" t="s">
        <v>12</v>
      </c>
      <c r="E14" s="9" t="s">
        <v>4</v>
      </c>
      <c r="F14" s="18" t="s">
        <v>157</v>
      </c>
      <c r="G14" s="9" t="s">
        <v>29</v>
      </c>
      <c r="H14" s="9" t="s">
        <v>142</v>
      </c>
      <c r="I14" s="9" t="s">
        <v>298</v>
      </c>
    </row>
    <row r="15" spans="1:9" ht="23.4">
      <c r="A15" s="17" t="s">
        <v>161</v>
      </c>
      <c r="B15" s="13" t="s">
        <v>162</v>
      </c>
      <c r="C15" s="13" t="s">
        <v>163</v>
      </c>
      <c r="D15" s="9" t="s">
        <v>12</v>
      </c>
      <c r="E15" s="9" t="s">
        <v>4</v>
      </c>
      <c r="F15" s="18" t="s">
        <v>164</v>
      </c>
      <c r="G15" s="9" t="s">
        <v>29</v>
      </c>
      <c r="H15" s="9" t="s">
        <v>142</v>
      </c>
      <c r="I15" s="9" t="s">
        <v>298</v>
      </c>
    </row>
    <row r="16" spans="1:9" ht="23.4">
      <c r="A16" s="17" t="s">
        <v>165</v>
      </c>
      <c r="B16" s="13" t="s">
        <v>166</v>
      </c>
      <c r="C16" s="13" t="s">
        <v>167</v>
      </c>
      <c r="D16" s="9" t="s">
        <v>12</v>
      </c>
      <c r="E16" s="9" t="s">
        <v>4</v>
      </c>
      <c r="F16" s="18" t="s">
        <v>168</v>
      </c>
      <c r="G16" s="9" t="s">
        <v>29</v>
      </c>
      <c r="H16" s="9" t="s">
        <v>142</v>
      </c>
      <c r="I16" s="9" t="s">
        <v>298</v>
      </c>
    </row>
    <row r="17" spans="1:9" ht="23.4">
      <c r="A17" s="17" t="s">
        <v>169</v>
      </c>
      <c r="B17" s="13" t="s">
        <v>170</v>
      </c>
      <c r="C17" s="13" t="s">
        <v>171</v>
      </c>
      <c r="D17" s="9" t="s">
        <v>12</v>
      </c>
      <c r="E17" s="9" t="s">
        <v>4</v>
      </c>
      <c r="F17" s="18" t="s">
        <v>172</v>
      </c>
      <c r="G17" s="9" t="s">
        <v>29</v>
      </c>
      <c r="H17" s="9" t="s">
        <v>142</v>
      </c>
      <c r="I17" s="9" t="s">
        <v>298</v>
      </c>
    </row>
    <row r="18" spans="1:9" ht="23.4">
      <c r="A18" s="17" t="s">
        <v>173</v>
      </c>
      <c r="B18" s="13" t="s">
        <v>174</v>
      </c>
      <c r="C18" s="13" t="s">
        <v>175</v>
      </c>
      <c r="D18" s="9" t="s">
        <v>12</v>
      </c>
      <c r="E18" s="9" t="s">
        <v>4</v>
      </c>
      <c r="F18" s="18" t="s">
        <v>33</v>
      </c>
      <c r="G18" s="9" t="s">
        <v>29</v>
      </c>
      <c r="H18" s="9" t="s">
        <v>142</v>
      </c>
      <c r="I18" s="9" t="s">
        <v>298</v>
      </c>
    </row>
    <row r="19" spans="1:9" ht="23.4">
      <c r="A19" s="17" t="s">
        <v>176</v>
      </c>
      <c r="B19" s="13" t="s">
        <v>177</v>
      </c>
      <c r="C19" s="13" t="s">
        <v>178</v>
      </c>
      <c r="D19" s="9" t="s">
        <v>12</v>
      </c>
      <c r="E19" s="9" t="s">
        <v>4</v>
      </c>
      <c r="F19" s="18" t="s">
        <v>59</v>
      </c>
      <c r="G19" s="9" t="s">
        <v>29</v>
      </c>
      <c r="H19" s="9" t="s">
        <v>142</v>
      </c>
      <c r="I19" s="9" t="s">
        <v>298</v>
      </c>
    </row>
    <row r="20" spans="1:9">
      <c r="H20" s="6"/>
      <c r="I20" s="4"/>
    </row>
  </sheetData>
  <autoFilter ref="A3:I12" xr:uid="{00000000-0009-0000-0000-00000E000000}"/>
  <conditionalFormatting sqref="A8">
    <cfRule type="duplicateValues" dxfId="31" priority="3"/>
  </conditionalFormatting>
  <conditionalFormatting sqref="A9:A19">
    <cfRule type="duplicateValues" dxfId="30" priority="2"/>
  </conditionalFormatting>
  <conditionalFormatting sqref="A4:B7">
    <cfRule type="duplicateValues" dxfId="29" priority="6"/>
  </conditionalFormatting>
  <conditionalFormatting sqref="B4:B7">
    <cfRule type="duplicateValues" dxfId="28" priority="7"/>
  </conditionalFormatting>
  <conditionalFormatting sqref="B8">
    <cfRule type="duplicateValues" dxfId="27" priority="4"/>
    <cfRule type="duplicateValues" dxfId="26" priority="5"/>
  </conditionalFormatting>
  <conditionalFormatting sqref="C8">
    <cfRule type="duplicateValues" dxfId="25" priority="1"/>
  </conditionalFormatting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9B044-17EA-4128-BA32-3AA53A090EB6}">
  <dimension ref="A1:J12"/>
  <sheetViews>
    <sheetView zoomScale="85" zoomScaleNormal="85" workbookViewId="0">
      <pane xSplit="3" ySplit="3" topLeftCell="D4" activePane="bottomRight" state="frozen"/>
      <selection pane="topRight"/>
      <selection pane="bottomLeft"/>
      <selection pane="bottomRight" activeCell="H21" sqref="H21"/>
    </sheetView>
  </sheetViews>
  <sheetFormatPr defaultColWidth="8.77734375" defaultRowHeight="13.8"/>
  <cols>
    <col min="1" max="1" width="16.88671875" style="4" customWidth="1"/>
    <col min="2" max="2" width="43.5546875" style="4" customWidth="1"/>
    <col min="3" max="3" width="45.44140625" style="4" customWidth="1"/>
    <col min="4" max="5" width="15.21875" style="4" customWidth="1"/>
    <col min="6" max="6" width="15.21875" style="5" customWidth="1"/>
    <col min="7" max="7" width="18.21875" style="4" customWidth="1"/>
    <col min="8" max="8" width="33.88671875" style="4" customWidth="1"/>
    <col min="9" max="9" width="23.109375" style="6" customWidth="1"/>
    <col min="10" max="10" width="22.77734375" style="4" customWidth="1"/>
    <col min="11" max="16384" width="8.77734375" style="4"/>
  </cols>
  <sheetData>
    <row r="1" spans="1:10" ht="17.399999999999999">
      <c r="A1" s="1" t="s">
        <v>0</v>
      </c>
      <c r="B1" s="2"/>
      <c r="C1" s="3"/>
    </row>
    <row r="2" spans="1:10" ht="33" customHeight="1">
      <c r="A2" s="7" t="s">
        <v>1</v>
      </c>
      <c r="B2" s="8" t="s">
        <v>2</v>
      </c>
      <c r="I2" s="4"/>
    </row>
    <row r="3" spans="1:10" s="6" customFormat="1" ht="31.8" customHeight="1">
      <c r="A3" s="28" t="s">
        <v>283</v>
      </c>
      <c r="B3" s="28" t="s">
        <v>284</v>
      </c>
      <c r="C3" s="28" t="s">
        <v>285</v>
      </c>
      <c r="D3" s="28" t="s">
        <v>290</v>
      </c>
      <c r="E3" s="28" t="s">
        <v>286</v>
      </c>
      <c r="F3" s="29" t="s">
        <v>287</v>
      </c>
      <c r="G3" s="28" t="s">
        <v>288</v>
      </c>
      <c r="H3" s="28" t="s">
        <v>289</v>
      </c>
      <c r="I3" s="28" t="s">
        <v>291</v>
      </c>
    </row>
    <row r="4" spans="1:10" ht="23.4">
      <c r="A4" s="15">
        <v>69016</v>
      </c>
      <c r="B4" s="12" t="str">
        <f>VLOOKUP(A4,[1]DATA!$B:$C,2,0)</f>
        <v>นายสุริยา  ตาเปี้ยสืบ</v>
      </c>
      <c r="C4" s="16" t="s">
        <v>97</v>
      </c>
      <c r="D4" s="9" t="str">
        <f>VLOOKUP(A4,[4]DATA!$B$2:$Y$174,4,0)</f>
        <v>Female</v>
      </c>
      <c r="E4" s="9" t="s">
        <v>4</v>
      </c>
      <c r="F4" s="10">
        <f>VLOOKUP(A4,[2]DATA!$B:$F,5,0)</f>
        <v>46070</v>
      </c>
      <c r="G4" s="9" t="s">
        <v>5</v>
      </c>
      <c r="H4" s="9" t="s">
        <v>98</v>
      </c>
      <c r="I4" s="9" t="s">
        <v>299</v>
      </c>
      <c r="J4" s="13"/>
    </row>
    <row r="5" spans="1:10" ht="23.4">
      <c r="A5" s="17">
        <v>69084</v>
      </c>
      <c r="B5" s="13" t="str">
        <f>VLOOKUP(A5,[3]DATA!$B$2:$Y$163,2,0)</f>
        <v>นายกฤษณะ โพศรี</v>
      </c>
      <c r="C5" s="13" t="str">
        <f>VLOOKUP(A5,[4]DATA!$B$2:$Y$174,3,0)</f>
        <v>MR.KITSANA PHOSEE</v>
      </c>
      <c r="D5" s="9" t="str">
        <f>VLOOKUP(A5,[4]DATA!$B$2:$Y$174,4,0)</f>
        <v>Male</v>
      </c>
      <c r="E5" s="9" t="s">
        <v>4</v>
      </c>
      <c r="F5" s="10">
        <f>VLOOKUP(A5,[4]DATA!$B$2:$Y$174,5,0)</f>
        <v>46163</v>
      </c>
      <c r="G5" s="9" t="s">
        <v>5</v>
      </c>
      <c r="H5" s="9" t="s">
        <v>99</v>
      </c>
      <c r="I5" s="9" t="s">
        <v>299</v>
      </c>
      <c r="J5" s="13"/>
    </row>
    <row r="6" spans="1:10" ht="23.4">
      <c r="A6" s="17">
        <v>69114</v>
      </c>
      <c r="B6" s="13" t="s">
        <v>100</v>
      </c>
      <c r="C6" s="13" t="s">
        <v>101</v>
      </c>
      <c r="D6" s="9" t="s">
        <v>12</v>
      </c>
      <c r="E6" s="9" t="s">
        <v>4</v>
      </c>
      <c r="F6" s="10">
        <v>46224</v>
      </c>
      <c r="G6" s="9" t="s">
        <v>5</v>
      </c>
      <c r="H6" s="9" t="s">
        <v>99</v>
      </c>
      <c r="I6" s="9" t="s">
        <v>299</v>
      </c>
      <c r="J6" s="13"/>
    </row>
    <row r="7" spans="1:10" ht="23.4">
      <c r="A7" s="17">
        <v>69124</v>
      </c>
      <c r="B7" s="13" t="s">
        <v>102</v>
      </c>
      <c r="C7" s="13" t="s">
        <v>103</v>
      </c>
      <c r="D7" s="9" t="s">
        <v>12</v>
      </c>
      <c r="E7" s="9" t="s">
        <v>4</v>
      </c>
      <c r="F7" s="10">
        <v>46224</v>
      </c>
      <c r="G7" s="9" t="s">
        <v>5</v>
      </c>
      <c r="H7" s="9" t="s">
        <v>99</v>
      </c>
      <c r="I7" s="9" t="s">
        <v>299</v>
      </c>
      <c r="J7" s="13"/>
    </row>
    <row r="8" spans="1:10" ht="23.4">
      <c r="A8" s="17">
        <v>69128</v>
      </c>
      <c r="B8" s="13" t="s">
        <v>104</v>
      </c>
      <c r="C8" s="13" t="s">
        <v>105</v>
      </c>
      <c r="D8" s="9" t="s">
        <v>12</v>
      </c>
      <c r="E8" s="9" t="s">
        <v>4</v>
      </c>
      <c r="F8" s="10">
        <v>46224</v>
      </c>
      <c r="G8" s="9" t="s">
        <v>5</v>
      </c>
      <c r="H8" s="9" t="s">
        <v>99</v>
      </c>
      <c r="I8" s="9" t="s">
        <v>299</v>
      </c>
      <c r="J8" s="13"/>
    </row>
    <row r="9" spans="1:10" ht="23.4">
      <c r="A9" s="18" t="s">
        <v>106</v>
      </c>
      <c r="B9" s="24" t="s">
        <v>107</v>
      </c>
      <c r="C9" s="24" t="s">
        <v>108</v>
      </c>
      <c r="D9" s="9" t="s">
        <v>12</v>
      </c>
      <c r="E9" s="9" t="s">
        <v>4</v>
      </c>
      <c r="F9" s="18" t="s">
        <v>109</v>
      </c>
      <c r="G9" s="9" t="s">
        <v>29</v>
      </c>
      <c r="H9" s="9" t="s">
        <v>99</v>
      </c>
      <c r="I9" s="9" t="s">
        <v>299</v>
      </c>
    </row>
    <row r="10" spans="1:10" ht="23.4">
      <c r="A10" s="18" t="s">
        <v>110</v>
      </c>
      <c r="B10" s="24" t="s">
        <v>111</v>
      </c>
      <c r="C10" s="24" t="s">
        <v>112</v>
      </c>
      <c r="D10" s="9" t="s">
        <v>12</v>
      </c>
      <c r="E10" s="9" t="s">
        <v>4</v>
      </c>
      <c r="F10" s="18" t="s">
        <v>37</v>
      </c>
      <c r="G10" s="9" t="s">
        <v>29</v>
      </c>
      <c r="H10" s="9" t="s">
        <v>99</v>
      </c>
      <c r="I10" s="9" t="s">
        <v>299</v>
      </c>
    </row>
    <row r="11" spans="1:10" ht="23.4">
      <c r="A11" s="18" t="s">
        <v>113</v>
      </c>
      <c r="B11" s="24" t="s">
        <v>114</v>
      </c>
      <c r="C11" s="24" t="s">
        <v>115</v>
      </c>
      <c r="D11" s="9" t="s">
        <v>12</v>
      </c>
      <c r="E11" s="9" t="s">
        <v>4</v>
      </c>
      <c r="F11" s="18" t="s">
        <v>37</v>
      </c>
      <c r="G11" s="9" t="s">
        <v>29</v>
      </c>
      <c r="H11" s="9" t="s">
        <v>99</v>
      </c>
      <c r="I11" s="9" t="s">
        <v>299</v>
      </c>
    </row>
    <row r="12" spans="1:10" ht="23.4">
      <c r="A12" s="18" t="s">
        <v>116</v>
      </c>
      <c r="B12" s="24" t="s">
        <v>117</v>
      </c>
      <c r="C12" s="24" t="s">
        <v>118</v>
      </c>
      <c r="D12" s="9" t="s">
        <v>12</v>
      </c>
      <c r="E12" s="9" t="s">
        <v>4</v>
      </c>
      <c r="F12" s="18" t="s">
        <v>119</v>
      </c>
      <c r="G12" s="9" t="s">
        <v>29</v>
      </c>
      <c r="H12" s="9" t="s">
        <v>99</v>
      </c>
      <c r="I12" s="9" t="s">
        <v>299</v>
      </c>
    </row>
  </sheetData>
  <autoFilter ref="A3:J8" xr:uid="{00000000-0009-0000-0000-000006000000}"/>
  <conditionalFormatting sqref="A5:A8">
    <cfRule type="duplicateValues" dxfId="21" priority="1"/>
  </conditionalFormatting>
  <conditionalFormatting sqref="A4:B4">
    <cfRule type="duplicateValues" dxfId="20" priority="2"/>
  </conditionalFormatting>
  <conditionalFormatting sqref="B4">
    <cfRule type="duplicateValues" dxfId="19" priority="3"/>
  </conditionalFormatting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B4E6D-2B26-4DF3-9E76-54EBED811009}">
  <dimension ref="A1:I10"/>
  <sheetViews>
    <sheetView zoomScale="85" zoomScaleNormal="85" workbookViewId="0">
      <pane xSplit="3" ySplit="3" topLeftCell="D4" activePane="bottomRight" state="frozen"/>
      <selection pane="topRight"/>
      <selection pane="bottomLeft"/>
      <selection pane="bottomRight" activeCell="I4" sqref="I4:I10"/>
    </sheetView>
  </sheetViews>
  <sheetFormatPr defaultColWidth="8.77734375" defaultRowHeight="13.8"/>
  <cols>
    <col min="1" max="1" width="16.88671875" style="4" customWidth="1"/>
    <col min="2" max="2" width="43.5546875" style="4" customWidth="1"/>
    <col min="3" max="3" width="45.44140625" style="4" customWidth="1"/>
    <col min="4" max="4" width="15.21875" style="4" customWidth="1"/>
    <col min="5" max="5" width="15.21875" style="5" customWidth="1"/>
    <col min="6" max="6" width="18.21875" style="4" customWidth="1"/>
    <col min="7" max="7" width="33.88671875" style="4" customWidth="1"/>
    <col min="8" max="8" width="23.109375" style="6" customWidth="1"/>
    <col min="9" max="9" width="22.77734375" style="4" customWidth="1"/>
    <col min="10" max="16384" width="8.77734375" style="4"/>
  </cols>
  <sheetData>
    <row r="1" spans="1:9" ht="17.399999999999999">
      <c r="A1" s="1" t="s">
        <v>0</v>
      </c>
      <c r="B1" s="2"/>
      <c r="C1" s="3"/>
      <c r="E1" s="4"/>
      <c r="F1" s="5"/>
      <c r="H1" s="4"/>
      <c r="I1" s="6"/>
    </row>
    <row r="2" spans="1:9" ht="33" customHeight="1">
      <c r="A2" s="7" t="s">
        <v>1</v>
      </c>
      <c r="B2" s="8" t="s">
        <v>2</v>
      </c>
      <c r="H2" s="4"/>
    </row>
    <row r="3" spans="1:9" s="6" customFormat="1" ht="31.8" customHeight="1">
      <c r="A3" s="28" t="s">
        <v>283</v>
      </c>
      <c r="B3" s="28" t="s">
        <v>284</v>
      </c>
      <c r="C3" s="28" t="s">
        <v>285</v>
      </c>
      <c r="D3" s="28" t="s">
        <v>290</v>
      </c>
      <c r="E3" s="28" t="s">
        <v>286</v>
      </c>
      <c r="F3" s="29" t="s">
        <v>287</v>
      </c>
      <c r="G3" s="28" t="s">
        <v>288</v>
      </c>
      <c r="H3" s="28" t="s">
        <v>289</v>
      </c>
      <c r="I3" s="28" t="s">
        <v>291</v>
      </c>
    </row>
    <row r="4" spans="1:9" ht="23.4">
      <c r="A4" s="23">
        <v>66016</v>
      </c>
      <c r="B4" s="12" t="str">
        <f>VLOOKUP(A4,[1]DATA!$B:$C,2,0)</f>
        <v>นายกิตติธัช หม่อมสละ</v>
      </c>
      <c r="C4" s="12" t="s">
        <v>83</v>
      </c>
      <c r="D4" s="9" t="s">
        <v>12</v>
      </c>
      <c r="E4" s="9" t="s">
        <v>4</v>
      </c>
      <c r="F4" s="10">
        <f>VLOOKUP(A4,[2]DATA!$B:$F,5,0)</f>
        <v>45009</v>
      </c>
      <c r="G4" s="9" t="s">
        <v>5</v>
      </c>
      <c r="H4" s="9" t="s">
        <v>84</v>
      </c>
      <c r="I4" s="9" t="s">
        <v>300</v>
      </c>
    </row>
    <row r="5" spans="1:9" ht="23.4">
      <c r="A5" s="17">
        <v>69005</v>
      </c>
      <c r="B5" s="12" t="str">
        <f>VLOOKUP(A5,[1]DATA!$B:$C,2,0)</f>
        <v>นายดำรงค์  ปัตพี</v>
      </c>
      <c r="C5" s="20" t="s">
        <v>85</v>
      </c>
      <c r="D5" s="9" t="s">
        <v>12</v>
      </c>
      <c r="E5" s="9" t="s">
        <v>4</v>
      </c>
      <c r="F5" s="10">
        <f>VLOOKUP(A5,[2]DATA!$B:$F,5,0)</f>
        <v>46039</v>
      </c>
      <c r="G5" s="9" t="s">
        <v>5</v>
      </c>
      <c r="H5" s="9" t="s">
        <v>86</v>
      </c>
      <c r="I5" s="9" t="s">
        <v>300</v>
      </c>
    </row>
    <row r="6" spans="1:9" ht="23.4">
      <c r="A6" s="17">
        <v>69063</v>
      </c>
      <c r="B6" s="12" t="str">
        <f>VLOOKUP(A6,[1]DATA!$B:$C,2,0)</f>
        <v>นายทนาวุฒิ พิเศษฤทธิ์</v>
      </c>
      <c r="C6" s="16" t="s">
        <v>87</v>
      </c>
      <c r="D6" s="9" t="s">
        <v>12</v>
      </c>
      <c r="E6" s="9" t="s">
        <v>4</v>
      </c>
      <c r="F6" s="10">
        <v>46133</v>
      </c>
      <c r="G6" s="9" t="s">
        <v>5</v>
      </c>
      <c r="H6" s="9" t="s">
        <v>86</v>
      </c>
      <c r="I6" s="9" t="s">
        <v>300</v>
      </c>
    </row>
    <row r="7" spans="1:9" ht="23.4">
      <c r="A7" s="17">
        <v>69085</v>
      </c>
      <c r="B7" s="13" t="str">
        <f>VLOOKUP(A7,[3]DATA!$B$2:$Y$163,2,0)</f>
        <v>นายทศพณ นวลวัน</v>
      </c>
      <c r="C7" s="13" t="str">
        <f>VLOOKUP(A7,[4]DATA!$B$2:$Y$174,3,0)</f>
        <v>MR.THOSSAPHON NUENWAN</v>
      </c>
      <c r="D7" s="9" t="s">
        <v>12</v>
      </c>
      <c r="E7" s="9" t="s">
        <v>4</v>
      </c>
      <c r="F7" s="10">
        <f>VLOOKUP(A7,[4]DATA!$B$2:$Y$174,5,0)</f>
        <v>46163</v>
      </c>
      <c r="G7" s="9" t="s">
        <v>5</v>
      </c>
      <c r="H7" s="9" t="s">
        <v>86</v>
      </c>
      <c r="I7" s="9" t="s">
        <v>300</v>
      </c>
    </row>
    <row r="8" spans="1:9" ht="23.4">
      <c r="A8" s="17" t="s">
        <v>88</v>
      </c>
      <c r="B8" s="13" t="s">
        <v>89</v>
      </c>
      <c r="C8" s="13" t="s">
        <v>90</v>
      </c>
      <c r="D8" s="9" t="s">
        <v>12</v>
      </c>
      <c r="E8" s="9" t="s">
        <v>4</v>
      </c>
      <c r="F8" s="18" t="s">
        <v>41</v>
      </c>
      <c r="G8" s="9" t="s">
        <v>29</v>
      </c>
      <c r="H8" s="9" t="s">
        <v>86</v>
      </c>
      <c r="I8" s="9" t="s">
        <v>300</v>
      </c>
    </row>
    <row r="9" spans="1:9" ht="23.4">
      <c r="A9" s="17" t="s">
        <v>91</v>
      </c>
      <c r="B9" s="13" t="s">
        <v>92</v>
      </c>
      <c r="C9" s="13" t="s">
        <v>93</v>
      </c>
      <c r="D9" s="9" t="s">
        <v>12</v>
      </c>
      <c r="E9" s="9" t="s">
        <v>4</v>
      </c>
      <c r="F9" s="18" t="s">
        <v>52</v>
      </c>
      <c r="G9" s="9" t="s">
        <v>29</v>
      </c>
      <c r="H9" s="9" t="s">
        <v>86</v>
      </c>
      <c r="I9" s="9" t="s">
        <v>300</v>
      </c>
    </row>
    <row r="10" spans="1:9" ht="23.4">
      <c r="A10" s="17" t="s">
        <v>94</v>
      </c>
      <c r="B10" s="13" t="s">
        <v>95</v>
      </c>
      <c r="C10" s="13" t="s">
        <v>96</v>
      </c>
      <c r="D10" s="9" t="s">
        <v>12</v>
      </c>
      <c r="E10" s="9" t="s">
        <v>4</v>
      </c>
      <c r="F10" s="18" t="s">
        <v>66</v>
      </c>
      <c r="G10" s="9" t="s">
        <v>29</v>
      </c>
      <c r="H10" s="9" t="s">
        <v>86</v>
      </c>
      <c r="I10" s="9" t="s">
        <v>300</v>
      </c>
    </row>
  </sheetData>
  <autoFilter ref="A3:I7" xr:uid="{00000000-0009-0000-0000-000005000000}"/>
  <conditionalFormatting sqref="A4">
    <cfRule type="duplicateValues" dxfId="18" priority="1"/>
  </conditionalFormatting>
  <conditionalFormatting sqref="A5 B5:B6">
    <cfRule type="duplicateValues" dxfId="17" priority="7"/>
  </conditionalFormatting>
  <conditionalFormatting sqref="A6">
    <cfRule type="duplicateValues" dxfId="16" priority="6"/>
  </conditionalFormatting>
  <conditionalFormatting sqref="A7:A10">
    <cfRule type="duplicateValues" dxfId="15" priority="4"/>
  </conditionalFormatting>
  <conditionalFormatting sqref="A4:B4">
    <cfRule type="duplicateValues" dxfId="14" priority="2"/>
  </conditionalFormatting>
  <conditionalFormatting sqref="B4">
    <cfRule type="duplicateValues" dxfId="13" priority="3"/>
  </conditionalFormatting>
  <conditionalFormatting sqref="B5:B6">
    <cfRule type="duplicateValues" dxfId="12" priority="8"/>
  </conditionalFormatting>
  <conditionalFormatting sqref="C6">
    <cfRule type="duplicateValues" dxfId="11" priority="5"/>
  </conditionalFormatting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295BF-566D-43B4-9404-C2A03E542D07}">
  <dimension ref="A1:I9"/>
  <sheetViews>
    <sheetView tabSelected="1" zoomScale="85" zoomScaleNormal="85" workbookViewId="0">
      <pane xSplit="3" ySplit="3" topLeftCell="D4" activePane="bottomRight" state="frozen"/>
      <selection pane="topRight"/>
      <selection pane="bottomLeft"/>
      <selection pane="bottomRight" activeCell="D16" sqref="D16"/>
    </sheetView>
  </sheetViews>
  <sheetFormatPr defaultColWidth="8.77734375" defaultRowHeight="13.8"/>
  <cols>
    <col min="1" max="1" width="16.88671875" style="4" customWidth="1"/>
    <col min="2" max="2" width="43.5546875" style="4" customWidth="1"/>
    <col min="3" max="3" width="45.44140625" style="4" customWidth="1"/>
    <col min="4" max="4" width="21" style="4" customWidth="1"/>
    <col min="5" max="5" width="15.21875" style="4" customWidth="1"/>
    <col min="6" max="6" width="15.21875" style="5" customWidth="1"/>
    <col min="7" max="7" width="18.21875" style="4" customWidth="1"/>
    <col min="8" max="8" width="33.88671875" style="4" customWidth="1"/>
    <col min="9" max="9" width="23.109375" style="6" customWidth="1"/>
    <col min="10" max="16384" width="8.77734375" style="4"/>
  </cols>
  <sheetData>
    <row r="1" spans="1:9" ht="17.399999999999999">
      <c r="A1" s="1" t="s">
        <v>0</v>
      </c>
      <c r="B1" s="2"/>
      <c r="C1" s="3"/>
      <c r="D1" s="3"/>
    </row>
    <row r="2" spans="1:9" ht="33" customHeight="1">
      <c r="A2" s="7" t="s">
        <v>1</v>
      </c>
      <c r="B2" s="8" t="s">
        <v>2</v>
      </c>
      <c r="I2" s="4"/>
    </row>
    <row r="3" spans="1:9" s="6" customFormat="1" ht="31.8" customHeight="1">
      <c r="A3" s="28" t="s">
        <v>283</v>
      </c>
      <c r="B3" s="28" t="s">
        <v>284</v>
      </c>
      <c r="C3" s="28" t="s">
        <v>285</v>
      </c>
      <c r="D3" s="28" t="s">
        <v>290</v>
      </c>
      <c r="E3" s="28" t="s">
        <v>286</v>
      </c>
      <c r="F3" s="29" t="s">
        <v>287</v>
      </c>
      <c r="G3" s="28" t="s">
        <v>288</v>
      </c>
      <c r="H3" s="28" t="s">
        <v>289</v>
      </c>
      <c r="I3" s="28" t="s">
        <v>291</v>
      </c>
    </row>
    <row r="4" spans="1:9" ht="23.4">
      <c r="A4" s="19">
        <v>64016</v>
      </c>
      <c r="B4" s="12" t="str">
        <f>VLOOKUP(A4,[1]DATA!$B:$C,2,0)</f>
        <v>นางสาวอรพิน เหลาบับภา</v>
      </c>
      <c r="C4" s="20" t="s">
        <v>67</v>
      </c>
      <c r="D4" s="9" t="str">
        <f>VLOOKUP(A4,[4]DATA!$B$2:$Y$174,4,0)</f>
        <v>Female</v>
      </c>
      <c r="E4" s="9" t="s">
        <v>4</v>
      </c>
      <c r="F4" s="10">
        <f>VLOOKUP(A4,[2]DATA!$B:$F,5,0)</f>
        <v>44308</v>
      </c>
      <c r="G4" s="9" t="s">
        <v>5</v>
      </c>
      <c r="H4" s="9" t="s">
        <v>68</v>
      </c>
      <c r="I4" s="9" t="s">
        <v>301</v>
      </c>
    </row>
    <row r="5" spans="1:9" ht="23.4">
      <c r="A5" s="17">
        <v>67083</v>
      </c>
      <c r="B5" s="12" t="str">
        <f>VLOOKUP(A5,[1]DATA!$B:$C,2,0)</f>
        <v>นางสาวอมรพรรณ สวดสม</v>
      </c>
      <c r="C5" s="21" t="s">
        <v>69</v>
      </c>
      <c r="D5" s="9" t="str">
        <f>VLOOKUP(A5,[4]DATA!$B$2:$Y$174,4,0)</f>
        <v>Female</v>
      </c>
      <c r="E5" s="9" t="s">
        <v>4</v>
      </c>
      <c r="F5" s="10">
        <f>VLOOKUP(A5,[2]DATA!$B:$F,5,0)</f>
        <v>45411</v>
      </c>
      <c r="G5" s="9" t="s">
        <v>5</v>
      </c>
      <c r="H5" s="9" t="s">
        <v>70</v>
      </c>
      <c r="I5" s="9" t="s">
        <v>301</v>
      </c>
    </row>
    <row r="6" spans="1:9" ht="23.4">
      <c r="A6" s="17">
        <v>67096</v>
      </c>
      <c r="B6" s="12" t="str">
        <f>VLOOKUP(A6,[1]DATA!$B:$C,2,0)</f>
        <v>นางสาวดวงกมล นันทะกุล</v>
      </c>
      <c r="C6" s="21" t="s">
        <v>71</v>
      </c>
      <c r="D6" s="9" t="s">
        <v>12</v>
      </c>
      <c r="E6" s="9" t="s">
        <v>4</v>
      </c>
      <c r="F6" s="10">
        <f>VLOOKUP(A6,[2]DATA!$B:$F,5,0)</f>
        <v>45426</v>
      </c>
      <c r="G6" s="9" t="s">
        <v>5</v>
      </c>
      <c r="H6" s="9" t="s">
        <v>70</v>
      </c>
      <c r="I6" s="9" t="s">
        <v>301</v>
      </c>
    </row>
    <row r="7" spans="1:9" ht="23.4">
      <c r="A7" s="17" t="s">
        <v>72</v>
      </c>
      <c r="B7" s="13" t="s">
        <v>73</v>
      </c>
      <c r="C7" s="13" t="s">
        <v>74</v>
      </c>
      <c r="D7" s="9" t="s">
        <v>12</v>
      </c>
      <c r="E7" s="9" t="s">
        <v>4</v>
      </c>
      <c r="F7" s="18" t="s">
        <v>52</v>
      </c>
      <c r="G7" s="9" t="s">
        <v>29</v>
      </c>
      <c r="H7" s="9" t="s">
        <v>70</v>
      </c>
      <c r="I7" s="9" t="s">
        <v>301</v>
      </c>
    </row>
    <row r="8" spans="1:9" ht="23.4">
      <c r="A8" s="17" t="s">
        <v>76</v>
      </c>
      <c r="B8" s="13" t="s">
        <v>77</v>
      </c>
      <c r="C8" s="13" t="s">
        <v>78</v>
      </c>
      <c r="D8" s="9" t="s">
        <v>12</v>
      </c>
      <c r="E8" s="9" t="s">
        <v>4</v>
      </c>
      <c r="F8" s="18" t="s">
        <v>66</v>
      </c>
      <c r="G8" s="9" t="s">
        <v>29</v>
      </c>
      <c r="H8" s="9" t="s">
        <v>70</v>
      </c>
      <c r="I8" s="9" t="s">
        <v>301</v>
      </c>
    </row>
    <row r="9" spans="1:9" ht="23.4">
      <c r="A9" s="17" t="s">
        <v>79</v>
      </c>
      <c r="B9" s="13" t="s">
        <v>80</v>
      </c>
      <c r="C9" s="13" t="s">
        <v>80</v>
      </c>
      <c r="D9" s="9" t="s">
        <v>12</v>
      </c>
      <c r="E9" s="9" t="s">
        <v>81</v>
      </c>
      <c r="F9" s="22" t="s">
        <v>82</v>
      </c>
      <c r="G9" s="9" t="s">
        <v>29</v>
      </c>
      <c r="H9" s="9" t="s">
        <v>70</v>
      </c>
      <c r="I9" s="9" t="s">
        <v>301</v>
      </c>
    </row>
  </sheetData>
  <autoFilter ref="A3:I6" xr:uid="{00000000-0009-0000-0000-000003000000}"/>
  <conditionalFormatting sqref="A4">
    <cfRule type="duplicateValues" dxfId="10" priority="2"/>
  </conditionalFormatting>
  <conditionalFormatting sqref="A7">
    <cfRule type="duplicateValues" dxfId="9" priority="1"/>
  </conditionalFormatting>
  <conditionalFormatting sqref="A8:A9">
    <cfRule type="duplicateValues" dxfId="8" priority="5"/>
  </conditionalFormatting>
  <conditionalFormatting sqref="A4:B6">
    <cfRule type="duplicateValues" dxfId="7" priority="3"/>
  </conditionalFormatting>
  <conditionalFormatting sqref="B4:B6">
    <cfRule type="duplicateValues" dxfId="6" priority="4"/>
  </conditionalFormatting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94DE3-DC49-48BE-A3EA-F02564625325}">
  <sheetPr>
    <tabColor theme="0"/>
  </sheetPr>
  <dimension ref="A1:I28"/>
  <sheetViews>
    <sheetView zoomScale="70" zoomScaleNormal="70" workbookViewId="0">
      <pane xSplit="3" ySplit="3" topLeftCell="D5" activePane="bottomRight" state="frozen"/>
      <selection pane="topRight"/>
      <selection pane="bottomLeft"/>
      <selection pane="bottomRight" activeCell="N27" sqref="N27"/>
    </sheetView>
  </sheetViews>
  <sheetFormatPr defaultColWidth="8.77734375" defaultRowHeight="13.8"/>
  <cols>
    <col min="1" max="1" width="16.88671875" style="4" customWidth="1"/>
    <col min="2" max="2" width="43.5546875" style="4" customWidth="1"/>
    <col min="3" max="3" width="45.44140625" style="4" customWidth="1"/>
    <col min="4" max="4" width="16.5546875" style="4" customWidth="1"/>
    <col min="5" max="5" width="15.21875" style="4" customWidth="1"/>
    <col min="6" max="7" width="15.21875" style="5" customWidth="1"/>
    <col min="8" max="8" width="33.88671875" style="4" customWidth="1"/>
    <col min="9" max="9" width="23.109375" style="6" customWidth="1"/>
    <col min="10" max="16384" width="8.77734375" style="4"/>
  </cols>
  <sheetData>
    <row r="1" spans="1:9" ht="17.399999999999999">
      <c r="A1" s="1" t="s">
        <v>0</v>
      </c>
      <c r="B1" s="2"/>
      <c r="C1" s="3"/>
      <c r="D1" s="3"/>
    </row>
    <row r="2" spans="1:9" ht="33" customHeight="1">
      <c r="A2" s="7" t="s">
        <v>1</v>
      </c>
      <c r="B2" s="8" t="s">
        <v>2</v>
      </c>
      <c r="I2" s="4"/>
    </row>
    <row r="3" spans="1:9" s="6" customFormat="1" ht="31.8" customHeight="1">
      <c r="A3" s="28" t="s">
        <v>283</v>
      </c>
      <c r="B3" s="28" t="s">
        <v>284</v>
      </c>
      <c r="C3" s="28" t="s">
        <v>285</v>
      </c>
      <c r="D3" s="28" t="s">
        <v>290</v>
      </c>
      <c r="E3" s="28" t="s">
        <v>286</v>
      </c>
      <c r="F3" s="29" t="s">
        <v>287</v>
      </c>
      <c r="G3" s="28" t="s">
        <v>288</v>
      </c>
      <c r="H3" s="28" t="s">
        <v>289</v>
      </c>
      <c r="I3" s="28" t="s">
        <v>291</v>
      </c>
    </row>
    <row r="4" spans="1:9" ht="23.4">
      <c r="A4" s="11">
        <v>65025</v>
      </c>
      <c r="B4" s="12" t="str">
        <f>VLOOKUP(A4,[1]DATA!$B:$C,2,0)</f>
        <v>นายทรงพล ศิริจันทร์</v>
      </c>
      <c r="C4" s="12" t="s">
        <v>3</v>
      </c>
      <c r="D4" s="9" t="str">
        <f>VLOOKUP(A4,[4]DATA!$B$2:$Y$174,4,0)</f>
        <v>Male</v>
      </c>
      <c r="E4" s="9" t="s">
        <v>4</v>
      </c>
      <c r="F4" s="10">
        <f>VLOOKUP(A4,[2]DATA!$B:$F,5,0)</f>
        <v>44690</v>
      </c>
      <c r="G4" s="9" t="s">
        <v>5</v>
      </c>
      <c r="H4" s="9" t="s">
        <v>6</v>
      </c>
      <c r="I4" s="9" t="s">
        <v>302</v>
      </c>
    </row>
    <row r="5" spans="1:9" ht="23.4">
      <c r="A5" s="14">
        <v>68050</v>
      </c>
      <c r="B5" s="12" t="str">
        <f>VLOOKUP(A5,[1]DATA!$B:$C,2,0)</f>
        <v>นายเฉลิมวุฒิ เพ็งประโคน</v>
      </c>
      <c r="C5" s="12" t="s">
        <v>7</v>
      </c>
      <c r="D5" s="9" t="str">
        <f>VLOOKUP(A5,[4]DATA!$B$2:$Y$174,4,0)</f>
        <v>Male</v>
      </c>
      <c r="E5" s="9" t="s">
        <v>4</v>
      </c>
      <c r="F5" s="10">
        <f>VLOOKUP(A5,[2]DATA!$B:$F,5,0)</f>
        <v>45890</v>
      </c>
      <c r="G5" s="9" t="s">
        <v>5</v>
      </c>
      <c r="H5" s="9" t="s">
        <v>6</v>
      </c>
      <c r="I5" s="9" t="s">
        <v>302</v>
      </c>
    </row>
    <row r="6" spans="1:9" ht="23.4">
      <c r="A6" s="14">
        <v>68056</v>
      </c>
      <c r="B6" s="12" t="str">
        <f>VLOOKUP(A6,[1]DATA!$B:$C,2,0)</f>
        <v>นายสุชาติ พลชาลี</v>
      </c>
      <c r="C6" s="12" t="s">
        <v>8</v>
      </c>
      <c r="D6" s="9" t="s">
        <v>12</v>
      </c>
      <c r="E6" s="9" t="s">
        <v>4</v>
      </c>
      <c r="F6" s="10">
        <f>VLOOKUP(A6,[2]DATA!$B:$F,5,0)</f>
        <v>45922</v>
      </c>
      <c r="G6" s="9" t="s">
        <v>5</v>
      </c>
      <c r="H6" s="9" t="s">
        <v>6</v>
      </c>
      <c r="I6" s="9" t="s">
        <v>302</v>
      </c>
    </row>
    <row r="7" spans="1:9" ht="23.4">
      <c r="A7" s="15">
        <v>69021</v>
      </c>
      <c r="B7" s="12" t="str">
        <f>VLOOKUP(A7,[1]DATA!$B:$C,2,0)</f>
        <v>นายจักรินทร์  คะสาร</v>
      </c>
      <c r="C7" s="16" t="s">
        <v>9</v>
      </c>
      <c r="D7" s="9" t="s">
        <v>12</v>
      </c>
      <c r="E7" s="9" t="s">
        <v>4</v>
      </c>
      <c r="F7" s="10">
        <f>VLOOKUP(A7,[2]DATA!$B:$F,5,0)</f>
        <v>46074</v>
      </c>
      <c r="G7" s="9" t="s">
        <v>5</v>
      </c>
      <c r="H7" s="9" t="s">
        <v>6</v>
      </c>
      <c r="I7" s="9" t="s">
        <v>302</v>
      </c>
    </row>
    <row r="8" spans="1:9" ht="23.4">
      <c r="A8" s="15">
        <v>69022</v>
      </c>
      <c r="B8" s="12" t="str">
        <f>VLOOKUP(A8,[1]DATA!$B:$C,2,0)</f>
        <v>นายนัฐวุฒิ  เสย์</v>
      </c>
      <c r="C8" s="16" t="s">
        <v>10</v>
      </c>
      <c r="D8" s="9" t="s">
        <v>12</v>
      </c>
      <c r="E8" s="9" t="s">
        <v>4</v>
      </c>
      <c r="F8" s="10">
        <f>VLOOKUP(A8,[2]DATA!$B:$F,5,0)</f>
        <v>46074</v>
      </c>
      <c r="G8" s="9" t="s">
        <v>5</v>
      </c>
      <c r="H8" s="9" t="s">
        <v>6</v>
      </c>
      <c r="I8" s="9" t="s">
        <v>302</v>
      </c>
    </row>
    <row r="9" spans="1:9" ht="23.4">
      <c r="A9" s="17">
        <v>69066</v>
      </c>
      <c r="B9" s="12" t="str">
        <f>VLOOKUP(A9,[1]DATA!$B:$C,2,0)</f>
        <v>นายเกียรติศักดิ์ แล่เพ็ชร</v>
      </c>
      <c r="C9" s="16" t="s">
        <v>11</v>
      </c>
      <c r="D9" s="9" t="s">
        <v>12</v>
      </c>
      <c r="E9" s="9" t="s">
        <v>4</v>
      </c>
      <c r="F9" s="10">
        <v>46133</v>
      </c>
      <c r="G9" s="9" t="s">
        <v>5</v>
      </c>
      <c r="H9" s="9" t="s">
        <v>6</v>
      </c>
      <c r="I9" s="9" t="s">
        <v>302</v>
      </c>
    </row>
    <row r="10" spans="1:9" ht="23.4">
      <c r="A10" s="17">
        <v>69081</v>
      </c>
      <c r="B10" s="13" t="str">
        <f>VLOOKUP(A10,[3]DATA!$B$2:$Y$163,2,0)</f>
        <v>นายธานินทร์  โพยนอก</v>
      </c>
      <c r="C10" s="13" t="str">
        <f>VLOOKUP(A10,[4]DATA!$B$2:$Y$174,3,0)</f>
        <v>MR.TANIN POINOG</v>
      </c>
      <c r="D10" s="9" t="s">
        <v>12</v>
      </c>
      <c r="E10" s="9" t="s">
        <v>4</v>
      </c>
      <c r="F10" s="10">
        <f>VLOOKUP(A10,[4]DATA!$B$2:$Y$174,5,0)</f>
        <v>46163</v>
      </c>
      <c r="G10" s="9" t="s">
        <v>5</v>
      </c>
      <c r="H10" s="9" t="s">
        <v>6</v>
      </c>
      <c r="I10" s="9" t="s">
        <v>302</v>
      </c>
    </row>
    <row r="11" spans="1:9" ht="23.4">
      <c r="A11" s="17">
        <v>69089</v>
      </c>
      <c r="B11" s="13" t="str">
        <f>VLOOKUP(A11,[3]DATA!$B$2:$Y$163,2,0)</f>
        <v>นายศตวรรษ ขันข่อย</v>
      </c>
      <c r="C11" s="13" t="str">
        <f>VLOOKUP(A11,[4]DATA!$B$2:$Y$174,3,0)</f>
        <v>MR.SATTAWAN KHANKHOY</v>
      </c>
      <c r="D11" s="9" t="s">
        <v>12</v>
      </c>
      <c r="E11" s="9" t="s">
        <v>4</v>
      </c>
      <c r="F11" s="10">
        <f>VLOOKUP(A11,[4]DATA!$B$2:$Y$174,5,0)</f>
        <v>46163</v>
      </c>
      <c r="G11" s="9" t="s">
        <v>5</v>
      </c>
      <c r="H11" s="9" t="s">
        <v>6</v>
      </c>
      <c r="I11" s="9" t="s">
        <v>302</v>
      </c>
    </row>
    <row r="12" spans="1:9" ht="23.4">
      <c r="A12" s="17">
        <v>69099</v>
      </c>
      <c r="B12" s="13" t="s">
        <v>13</v>
      </c>
      <c r="C12" s="13" t="s">
        <v>14</v>
      </c>
      <c r="D12" s="9" t="s">
        <v>12</v>
      </c>
      <c r="E12" s="9" t="s">
        <v>4</v>
      </c>
      <c r="F12" s="10">
        <v>46194</v>
      </c>
      <c r="G12" s="9" t="s">
        <v>5</v>
      </c>
      <c r="H12" s="9" t="s">
        <v>6</v>
      </c>
      <c r="I12" s="9" t="s">
        <v>302</v>
      </c>
    </row>
    <row r="13" spans="1:9" ht="23.4">
      <c r="A13" s="17">
        <v>69120</v>
      </c>
      <c r="B13" s="13" t="s">
        <v>15</v>
      </c>
      <c r="C13" s="13" t="s">
        <v>16</v>
      </c>
      <c r="D13" s="9" t="s">
        <v>12</v>
      </c>
      <c r="E13" s="9" t="s">
        <v>4</v>
      </c>
      <c r="F13" s="10">
        <v>46224</v>
      </c>
      <c r="G13" s="9" t="s">
        <v>5</v>
      </c>
      <c r="H13" s="9" t="s">
        <v>6</v>
      </c>
      <c r="I13" s="9" t="s">
        <v>302</v>
      </c>
    </row>
    <row r="14" spans="1:9" ht="23.4">
      <c r="A14" s="17">
        <v>69121</v>
      </c>
      <c r="B14" s="13" t="s">
        <v>17</v>
      </c>
      <c r="C14" s="13" t="s">
        <v>18</v>
      </c>
      <c r="D14" s="9" t="s">
        <v>12</v>
      </c>
      <c r="E14" s="9" t="s">
        <v>4</v>
      </c>
      <c r="F14" s="10">
        <v>46224</v>
      </c>
      <c r="G14" s="9" t="s">
        <v>5</v>
      </c>
      <c r="H14" s="9" t="s">
        <v>6</v>
      </c>
      <c r="I14" s="9" t="s">
        <v>302</v>
      </c>
    </row>
    <row r="15" spans="1:9" ht="23.4">
      <c r="A15" s="17">
        <v>69126</v>
      </c>
      <c r="B15" s="13" t="s">
        <v>19</v>
      </c>
      <c r="C15" s="13" t="s">
        <v>20</v>
      </c>
      <c r="D15" s="9" t="s">
        <v>12</v>
      </c>
      <c r="E15" s="9" t="s">
        <v>4</v>
      </c>
      <c r="F15" s="10">
        <v>46224</v>
      </c>
      <c r="G15" s="9" t="s">
        <v>5</v>
      </c>
      <c r="H15" s="9" t="s">
        <v>6</v>
      </c>
      <c r="I15" s="9" t="s">
        <v>302</v>
      </c>
    </row>
    <row r="16" spans="1:9" ht="23.4">
      <c r="A16" s="17">
        <v>69131</v>
      </c>
      <c r="B16" s="13" t="s">
        <v>21</v>
      </c>
      <c r="C16" s="13" t="s">
        <v>22</v>
      </c>
      <c r="D16" s="9" t="s">
        <v>12</v>
      </c>
      <c r="E16" s="9" t="s">
        <v>4</v>
      </c>
      <c r="F16" s="10">
        <v>46224</v>
      </c>
      <c r="G16" s="9" t="s">
        <v>5</v>
      </c>
      <c r="H16" s="9" t="s">
        <v>6</v>
      </c>
      <c r="I16" s="9" t="s">
        <v>302</v>
      </c>
    </row>
    <row r="17" spans="1:9" ht="23.4">
      <c r="A17" s="17">
        <v>69132</v>
      </c>
      <c r="B17" s="13" t="s">
        <v>23</v>
      </c>
      <c r="C17" s="13" t="s">
        <v>24</v>
      </c>
      <c r="D17" s="9" t="s">
        <v>12</v>
      </c>
      <c r="E17" s="9" t="s">
        <v>4</v>
      </c>
      <c r="F17" s="10">
        <v>46224</v>
      </c>
      <c r="G17" s="9" t="s">
        <v>5</v>
      </c>
      <c r="H17" s="9" t="s">
        <v>6</v>
      </c>
      <c r="I17" s="9" t="s">
        <v>302</v>
      </c>
    </row>
    <row r="18" spans="1:9" ht="23.4">
      <c r="A18" s="17" t="s">
        <v>25</v>
      </c>
      <c r="B18" s="13" t="s">
        <v>26</v>
      </c>
      <c r="C18" s="13" t="s">
        <v>27</v>
      </c>
      <c r="D18" s="9" t="s">
        <v>12</v>
      </c>
      <c r="E18" s="9" t="s">
        <v>4</v>
      </c>
      <c r="F18" s="18" t="s">
        <v>28</v>
      </c>
      <c r="G18" s="9" t="s">
        <v>29</v>
      </c>
      <c r="H18" s="9" t="s">
        <v>6</v>
      </c>
      <c r="I18" s="9" t="s">
        <v>302</v>
      </c>
    </row>
    <row r="19" spans="1:9" ht="23.4">
      <c r="A19" s="17" t="s">
        <v>30</v>
      </c>
      <c r="B19" s="13" t="s">
        <v>31</v>
      </c>
      <c r="C19" s="13" t="s">
        <v>32</v>
      </c>
      <c r="D19" s="9" t="s">
        <v>12</v>
      </c>
      <c r="E19" s="9" t="s">
        <v>4</v>
      </c>
      <c r="F19" s="18" t="s">
        <v>33</v>
      </c>
      <c r="G19" s="9" t="s">
        <v>29</v>
      </c>
      <c r="H19" s="9" t="s">
        <v>6</v>
      </c>
      <c r="I19" s="9" t="s">
        <v>302</v>
      </c>
    </row>
    <row r="20" spans="1:9" ht="23.4">
      <c r="A20" s="17" t="s">
        <v>34</v>
      </c>
      <c r="B20" s="13" t="s">
        <v>35</v>
      </c>
      <c r="C20" s="13" t="s">
        <v>36</v>
      </c>
      <c r="D20" s="9" t="s">
        <v>12</v>
      </c>
      <c r="E20" s="9" t="s">
        <v>4</v>
      </c>
      <c r="F20" s="18" t="s">
        <v>37</v>
      </c>
      <c r="G20" s="9" t="s">
        <v>29</v>
      </c>
      <c r="H20" s="9" t="s">
        <v>6</v>
      </c>
      <c r="I20" s="9" t="s">
        <v>302</v>
      </c>
    </row>
    <row r="21" spans="1:9" ht="23.4">
      <c r="A21" s="17" t="s">
        <v>38</v>
      </c>
      <c r="B21" s="13" t="s">
        <v>39</v>
      </c>
      <c r="C21" s="13" t="s">
        <v>40</v>
      </c>
      <c r="D21" s="9" t="s">
        <v>12</v>
      </c>
      <c r="E21" s="9" t="s">
        <v>4</v>
      </c>
      <c r="F21" s="18" t="s">
        <v>41</v>
      </c>
      <c r="G21" s="9" t="s">
        <v>29</v>
      </c>
      <c r="H21" s="9" t="s">
        <v>6</v>
      </c>
      <c r="I21" s="9" t="s">
        <v>302</v>
      </c>
    </row>
    <row r="22" spans="1:9" ht="23.4">
      <c r="A22" s="17" t="s">
        <v>42</v>
      </c>
      <c r="B22" s="13" t="s">
        <v>43</v>
      </c>
      <c r="C22" s="13" t="s">
        <v>44</v>
      </c>
      <c r="D22" s="9" t="s">
        <v>12</v>
      </c>
      <c r="E22" s="9" t="s">
        <v>4</v>
      </c>
      <c r="F22" s="18" t="s">
        <v>41</v>
      </c>
      <c r="G22" s="9" t="s">
        <v>29</v>
      </c>
      <c r="H22" s="9" t="s">
        <v>6</v>
      </c>
      <c r="I22" s="9" t="s">
        <v>302</v>
      </c>
    </row>
    <row r="23" spans="1:9" ht="23.4">
      <c r="A23" s="17" t="s">
        <v>45</v>
      </c>
      <c r="B23" s="13" t="s">
        <v>46</v>
      </c>
      <c r="C23" s="13" t="s">
        <v>47</v>
      </c>
      <c r="D23" s="9" t="s">
        <v>12</v>
      </c>
      <c r="E23" s="9" t="s">
        <v>4</v>
      </c>
      <c r="F23" s="18" t="s">
        <v>48</v>
      </c>
      <c r="G23" s="9" t="s">
        <v>29</v>
      </c>
      <c r="H23" s="9" t="s">
        <v>6</v>
      </c>
      <c r="I23" s="9" t="s">
        <v>302</v>
      </c>
    </row>
    <row r="24" spans="1:9" ht="23.4">
      <c r="A24" s="17" t="s">
        <v>49</v>
      </c>
      <c r="B24" s="13" t="s">
        <v>50</v>
      </c>
      <c r="C24" s="13" t="s">
        <v>51</v>
      </c>
      <c r="D24" s="9" t="s">
        <v>12</v>
      </c>
      <c r="E24" s="9" t="s">
        <v>4</v>
      </c>
      <c r="F24" s="18" t="s">
        <v>52</v>
      </c>
      <c r="G24" s="9" t="s">
        <v>29</v>
      </c>
      <c r="H24" s="9" t="s">
        <v>6</v>
      </c>
      <c r="I24" s="9" t="s">
        <v>302</v>
      </c>
    </row>
    <row r="25" spans="1:9" ht="23.4">
      <c r="A25" s="17" t="s">
        <v>53</v>
      </c>
      <c r="B25" s="13" t="s">
        <v>54</v>
      </c>
      <c r="C25" s="13" t="s">
        <v>55</v>
      </c>
      <c r="D25" s="9" t="s">
        <v>12</v>
      </c>
      <c r="E25" s="9" t="s">
        <v>4</v>
      </c>
      <c r="F25" s="18" t="s">
        <v>52</v>
      </c>
      <c r="G25" s="9" t="s">
        <v>29</v>
      </c>
      <c r="H25" s="9" t="s">
        <v>6</v>
      </c>
      <c r="I25" s="9" t="s">
        <v>302</v>
      </c>
    </row>
    <row r="26" spans="1:9" ht="23.4">
      <c r="A26" s="17" t="s">
        <v>56</v>
      </c>
      <c r="B26" s="13" t="s">
        <v>57</v>
      </c>
      <c r="C26" s="13" t="s">
        <v>58</v>
      </c>
      <c r="D26" s="9" t="s">
        <v>12</v>
      </c>
      <c r="E26" s="9" t="s">
        <v>4</v>
      </c>
      <c r="F26" s="18" t="s">
        <v>59</v>
      </c>
      <c r="G26" s="9" t="s">
        <v>29</v>
      </c>
      <c r="H26" s="9" t="s">
        <v>6</v>
      </c>
      <c r="I26" s="9" t="s">
        <v>302</v>
      </c>
    </row>
    <row r="27" spans="1:9" ht="23.4">
      <c r="A27" s="17" t="s">
        <v>60</v>
      </c>
      <c r="B27" s="13" t="s">
        <v>61</v>
      </c>
      <c r="C27" s="13" t="s">
        <v>62</v>
      </c>
      <c r="D27" s="9" t="s">
        <v>12</v>
      </c>
      <c r="E27" s="9" t="s">
        <v>4</v>
      </c>
      <c r="F27" s="18" t="s">
        <v>59</v>
      </c>
      <c r="G27" s="9" t="s">
        <v>29</v>
      </c>
      <c r="H27" s="9" t="s">
        <v>6</v>
      </c>
      <c r="I27" s="9" t="s">
        <v>302</v>
      </c>
    </row>
    <row r="28" spans="1:9" ht="23.4">
      <c r="A28" s="17" t="s">
        <v>63</v>
      </c>
      <c r="B28" s="13" t="s">
        <v>64</v>
      </c>
      <c r="C28" s="13" t="s">
        <v>65</v>
      </c>
      <c r="D28" s="9" t="s">
        <v>12</v>
      </c>
      <c r="E28" s="9" t="s">
        <v>4</v>
      </c>
      <c r="F28" s="18" t="s">
        <v>66</v>
      </c>
      <c r="G28" s="9" t="s">
        <v>29</v>
      </c>
      <c r="H28" s="9" t="s">
        <v>6</v>
      </c>
      <c r="I28" s="9" t="s">
        <v>302</v>
      </c>
    </row>
  </sheetData>
  <autoFilter ref="A3:I28" xr:uid="{00000000-0009-0000-0000-000004000000}"/>
  <conditionalFormatting sqref="A4">
    <cfRule type="duplicateValues" dxfId="5" priority="4"/>
  </conditionalFormatting>
  <conditionalFormatting sqref="A9">
    <cfRule type="duplicateValues" dxfId="4" priority="2"/>
  </conditionalFormatting>
  <conditionalFormatting sqref="A10:A28">
    <cfRule type="duplicateValues" dxfId="3" priority="1"/>
  </conditionalFormatting>
  <conditionalFormatting sqref="B4:B9">
    <cfRule type="duplicateValues" dxfId="2" priority="6"/>
  </conditionalFormatting>
  <conditionalFormatting sqref="B5:B9 A4:B4 A5:A8">
    <cfRule type="duplicateValues" dxfId="1" priority="5"/>
  </conditionalFormatting>
  <conditionalFormatting sqref="C9">
    <cfRule type="duplicateValues" dxfId="0" priority="3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Engineering Support Section</vt:lpstr>
      <vt:lpstr>Support Production Section</vt:lpstr>
      <vt:lpstr>Machine Maintenance Section</vt:lpstr>
      <vt:lpstr>Tooling Maintenance Section</vt:lpstr>
      <vt:lpstr>Sorting Section</vt:lpstr>
      <vt:lpstr>Welding Section</vt:lpstr>
      <vt:lpstr>CNC Section</vt:lpstr>
      <vt:lpstr>Bending Section</vt:lpstr>
      <vt:lpstr>Taping Section</vt:lpstr>
      <vt:lpstr>Stamping Section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JINRONG ELECTRONIC</dc:creator>
  <cp:lastModifiedBy>JINRONG ELECTRONIC</cp:lastModifiedBy>
  <dcterms:created xsi:type="dcterms:W3CDTF">2026-07-27T06:31:12Z</dcterms:created>
  <dcterms:modified xsi:type="dcterms:W3CDTF">2026-07-27T07:41:47Z</dcterms:modified>
</cp:coreProperties>
</file>